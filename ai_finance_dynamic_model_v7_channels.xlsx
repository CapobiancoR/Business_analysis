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Mode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#,##0\ &quot;€&quot;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8"/>
  <sheetViews>
    <sheetView tabSelected="1" zoomScaleNormal="100" workbookViewId="0">
      <selection activeCell="G57" sqref="G57"/>
    </sheetView>
  </sheetViews>
  <sheetFormatPr baseColWidth="8" defaultRowHeight="15"/>
  <cols>
    <col width="14.28515625" customWidth="1" min="1" max="1"/>
    <col width="33" customWidth="1" min="2" max="2"/>
    <col width="15" bestFit="1" customWidth="1" min="3" max="3"/>
    <col width="18.85546875" customWidth="1" min="4" max="4"/>
    <col width="21.28515625" customWidth="1" min="5" max="6"/>
    <col width="18.85546875" bestFit="1" customWidth="1" min="7" max="7"/>
    <col width="24.140625" customWidth="1" min="8" max="8"/>
    <col width="25.7109375" bestFit="1" customWidth="1" min="9" max="9"/>
    <col width="11.85546875" bestFit="1" customWidth="1" min="10" max="10"/>
    <col width="11.140625" bestFit="1" customWidth="1" min="11" max="11"/>
    <col width="14" bestFit="1" customWidth="1" min="12" max="12"/>
    <col width="13.28515625" bestFit="1" customWidth="1" min="13" max="13"/>
    <col width="28" customWidth="1" min="14" max="14"/>
    <col width="26.7109375" customWidth="1" min="15" max="15"/>
    <col width="11.28515625" bestFit="1" customWidth="1" min="16" max="16"/>
    <col width="14.140625" bestFit="1" customWidth="1" min="17" max="17"/>
    <col width="20.42578125" bestFit="1" customWidth="1" min="18" max="18"/>
    <col width="16.28515625" bestFit="1" customWidth="1" min="19" max="19"/>
    <col width="15.5703125" bestFit="1" customWidth="1" min="20" max="20"/>
    <col width="18.42578125" bestFit="1" customWidth="1" min="21" max="21"/>
    <col width="18.28515625" bestFit="1" customWidth="1" min="22" max="22"/>
    <col width="11.28515625" bestFit="1" customWidth="1" min="23" max="23"/>
    <col width="18.28515625" bestFit="1" customWidth="1" min="24" max="24"/>
    <col width="14.7109375" customWidth="1" min="25" max="25"/>
    <col width="17.42578125" bestFit="1" customWidth="1" min="26" max="26"/>
    <col width="7" bestFit="1" customWidth="1" min="27" max="27"/>
    <col width="15" customWidth="1" min="28" max="28"/>
    <col width="21.28515625" bestFit="1" customWidth="1" min="29" max="29"/>
    <col width="20.5703125" bestFit="1" customWidth="1" min="30" max="30"/>
    <col width="23.42578125" bestFit="1" customWidth="1" min="31" max="31"/>
    <col width="25.42578125" bestFit="1" customWidth="1" min="32" max="32"/>
    <col width="22.7109375" bestFit="1" customWidth="1" min="33" max="33"/>
    <col width="13.42578125" bestFit="1" customWidth="1" min="34" max="34"/>
    <col width="10.140625" bestFit="1" customWidth="1" min="35" max="35"/>
    <col width="16.140625" bestFit="1" customWidth="1" min="36" max="36"/>
    <col width="11.28515625" bestFit="1" customWidth="1" min="37" max="37"/>
    <col width="15" bestFit="1" customWidth="1" min="38" max="38"/>
    <col width="16.5703125" bestFit="1" customWidth="1" min="39" max="39"/>
  </cols>
  <sheetData>
    <row r="1" ht="18.75" customHeight="1">
      <c r="A1" s="1" t="inlineStr">
        <is>
          <t>AI Finance Platform - Financial Model v7 (Channel-based, Organic Social, Referral)</t>
        </is>
      </c>
    </row>
    <row r="3">
      <c r="A3" s="2" t="inlineStr">
        <is>
          <t>Category</t>
        </is>
      </c>
      <c r="B3" s="2" t="inlineStr">
        <is>
          <t>Parameter</t>
        </is>
      </c>
      <c r="C3" s="2" t="inlineStr">
        <is>
          <t>Value</t>
        </is>
      </c>
      <c r="D3" s="2" t="inlineStr">
        <is>
          <t>Unit</t>
        </is>
      </c>
      <c r="E3" s="2" t="inlineStr">
        <is>
          <t>Notes</t>
        </is>
      </c>
      <c r="L3" s="8" t="inlineStr">
        <is>
          <t>Freemium (fintech): FirstPageSage 2024: Visitor→Freemium 13,5%, Freemium→Paid 3,7% per Financial/Fintech.</t>
        </is>
      </c>
    </row>
    <row r="4">
      <c r="A4" t="inlineStr">
        <is>
          <t>Revenue</t>
        </is>
      </c>
      <c r="B4" t="inlineStr">
        <is>
          <t>ARPU</t>
        </is>
      </c>
      <c r="C4" t="n">
        <v>20</v>
      </c>
      <c r="D4" t="inlineStr">
        <is>
          <t>EUR / month / user</t>
        </is>
      </c>
      <c r="E4" t="inlineStr">
        <is>
          <t>Average price across tiers; adjustable.</t>
        </is>
      </c>
    </row>
    <row r="5">
      <c r="A5" t="inlineStr">
        <is>
          <t>Revenue</t>
        </is>
      </c>
      <c r="B5" t="inlineStr">
        <is>
          <t>GrossMargin</t>
        </is>
      </c>
      <c r="C5" t="n">
        <v>0.8</v>
      </c>
      <c r="E5" t="inlineStr">
        <is>
          <t>Typical SaaS gross margin 70–90%.</t>
        </is>
      </c>
      <c r="L5" s="8" t="inlineStr">
        <is>
          <t>Referral rate globale 2,35%: ReferralCandy, ReferralRock, Prefinery, SocialSnowball, Tremendous, ecc. confermano ≈2,35% come media globale.</t>
        </is>
      </c>
    </row>
    <row r="6">
      <c r="A6" t="inlineStr">
        <is>
          <t>Conversion</t>
        </is>
      </c>
      <c r="B6" t="inlineStr">
        <is>
          <t>ConvVS</t>
        </is>
      </c>
      <c r="C6" t="n">
        <v>0.13</v>
      </c>
      <c r="D6" t="inlineStr">
        <is>
          <t>ratio</t>
        </is>
      </c>
      <c r="E6" t="inlineStr">
        <is>
          <t>Visitor→Signup (~5%). Typical SaaS landing conversion 2–5%. (Aggiornato parametri freemium fintech)</t>
        </is>
      </c>
    </row>
    <row r="7">
      <c r="A7" t="inlineStr">
        <is>
          <t>Conversion</t>
        </is>
      </c>
      <c r="B7" t="inlineStr">
        <is>
          <t>ConvSP</t>
        </is>
      </c>
      <c r="C7" t="n">
        <v>0.035</v>
      </c>
      <c r="D7" t="inlineStr">
        <is>
          <t>ratio</t>
        </is>
      </c>
      <c r="E7" t="inlineStr">
        <is>
          <t>Signup→Paid (~18%) for opt-in free trial. (Aggiornato parametri freemium fintech)</t>
        </is>
      </c>
      <c r="L7" s="8" t="inlineStr">
        <is>
          <t>Follower growth IG business: BusinessDasher 2024: IG business accounts ≈1,46% crescita follower mensile; SQMagazine 2025: business accounts +12% YoY.</t>
        </is>
      </c>
    </row>
    <row r="8">
      <c r="A8" t="inlineStr">
        <is>
          <t>Social</t>
        </is>
      </c>
      <c r="B8" t="inlineStr">
        <is>
          <t>Followers_0</t>
        </is>
      </c>
      <c r="C8" t="n">
        <v>1000</v>
      </c>
      <c r="D8" t="inlineStr">
        <is>
          <t>followers</t>
        </is>
      </c>
      <c r="E8" t="inlineStr">
        <is>
          <t>Initial followers on main profile.</t>
        </is>
      </c>
    </row>
    <row r="9">
      <c r="A9" t="inlineStr">
        <is>
          <t>Social</t>
        </is>
      </c>
      <c r="B9" t="inlineStr">
        <is>
          <t>Follower_Monthly_Growth</t>
        </is>
      </c>
      <c r="C9" t="n">
        <v>0.08</v>
      </c>
      <c r="D9" t="inlineStr">
        <is>
          <t>ratio</t>
        </is>
      </c>
      <c r="E9" t="inlineStr">
        <is>
          <t>Monthly follower growth. Small business accounts ~0.7–3.3%/month; default 3%.</t>
        </is>
      </c>
      <c r="L9" s="8" t="inlineStr">
        <is>
          <t>Reach per post IG: SocialInsider 2025 + RivalIQ 2024/25: reach post tipica ~3–8% dei follower a seconda delle dimensioni dell’account.</t>
        </is>
      </c>
    </row>
    <row r="10">
      <c r="A10" t="inlineStr">
        <is>
          <t>Social</t>
        </is>
      </c>
      <c r="B10" t="inlineStr">
        <is>
          <t>Posts_per_Month_Y1</t>
        </is>
      </c>
      <c r="C10" t="n">
        <v>120</v>
      </c>
      <c r="D10" t="inlineStr">
        <is>
          <t>posts / month</t>
        </is>
      </c>
      <c r="E10" t="inlineStr">
        <is>
          <t>Posts per month year 1</t>
        </is>
      </c>
    </row>
    <row r="11">
      <c r="A11" t="inlineStr">
        <is>
          <t>Social</t>
        </is>
      </c>
      <c r="B11" t="inlineStr">
        <is>
          <t>Posts_per_Month_Y2</t>
        </is>
      </c>
      <c r="C11" t="n">
        <v>120</v>
      </c>
      <c r="D11" t="inlineStr">
        <is>
          <t>posts / month</t>
        </is>
      </c>
      <c r="E11" t="inlineStr">
        <is>
          <t>Posts per month year 2.</t>
        </is>
      </c>
      <c r="L11" s="8" t="inlineStr">
        <is>
          <t>Cost per follower IG ads: Socialwick 2024: CPF medio ≈0,33 $/follower; inBeat 2024: CPM IG ≈2,5–3,5 $.</t>
        </is>
      </c>
    </row>
    <row r="12">
      <c r="A12" t="inlineStr">
        <is>
          <t>Social</t>
        </is>
      </c>
      <c r="B12" t="inlineStr">
        <is>
          <t>Posts_per_Month_Y3</t>
        </is>
      </c>
      <c r="C12" t="n">
        <v>120</v>
      </c>
      <c r="D12" t="inlineStr">
        <is>
          <t>posts / month</t>
        </is>
      </c>
      <c r="E12" t="inlineStr">
        <is>
          <t>Posts per month year 3.</t>
        </is>
      </c>
    </row>
    <row r="13">
      <c r="A13" t="inlineStr">
        <is>
          <t>Social</t>
        </is>
      </c>
      <c r="B13" t="inlineStr">
        <is>
          <t>Reach_per_Post</t>
        </is>
      </c>
      <c r="C13" t="n">
        <v>0.04</v>
      </c>
      <c r="D13" t="inlineStr">
        <is>
          <t>ratio</t>
        </is>
      </c>
      <c r="E13" t="inlineStr">
        <is>
          <t>Average organic reach per post as % of followers (IG ~3.5–7.6%).</t>
        </is>
      </c>
      <c r="L13" s="8" t="inlineStr">
        <is>
          <t>CTR Meta (FB+IG): diversi report 2024–2025 (FlyingVGroup, Enhencer, WordStream, Billo) indicano ~0,9–1,6% di CTR medio; 1,2% è al centro.</t>
        </is>
      </c>
    </row>
    <row r="14">
      <c r="A14" t="inlineStr">
        <is>
          <t>Social</t>
        </is>
      </c>
      <c r="B14" t="inlineStr">
        <is>
          <t>NonFollower_Reach_Multiplier</t>
        </is>
      </c>
      <c r="C14" t="n">
        <v>0.5</v>
      </c>
      <c r="D14" t="inlineStr">
        <is>
          <t>ratio</t>
        </is>
      </c>
      <c r="E14" t="inlineStr">
        <is>
          <t>Extra reach to non-followers as fraction of follower impressions.</t>
        </is>
      </c>
    </row>
    <row r="15">
      <c r="A15" t="inlineStr">
        <is>
          <t>Social</t>
        </is>
      </c>
      <c r="B15" t="inlineStr">
        <is>
          <t>Frequency_Impressions_per_User</t>
        </is>
      </c>
      <c r="C15" t="n">
        <v>1.5</v>
      </c>
      <c r="D15" t="inlineStr">
        <is>
          <t>impressions / user</t>
        </is>
      </c>
      <c r="E15" t="inlineStr">
        <is>
          <t>Average times a non-follower sees your content.</t>
        </is>
      </c>
      <c r="L15" s="8" t="inlineStr">
        <is>
          <t>CPC Finance: WordStream 2025: Finance &amp; Insurance ~3,77 $ CPC; altri report citano 3–4 $ e serie temporali ~1,6–2 $ a seconda dei dataset.</t>
        </is>
      </c>
    </row>
    <row r="16">
      <c r="A16" t="inlineStr">
        <is>
          <t>Social</t>
        </is>
      </c>
      <c r="B16" t="inlineStr">
        <is>
          <t>Organic_CTR_to_Site</t>
        </is>
      </c>
      <c r="C16" t="n">
        <v>0.015</v>
      </c>
      <c r="D16" t="inlineStr">
        <is>
          <t>ratio</t>
        </is>
      </c>
      <c r="E16" t="inlineStr">
        <is>
          <t>Click-through from organic impressions to website (~1–3%).</t>
        </is>
      </c>
    </row>
    <row r="17">
      <c r="A17" t="inlineStr">
        <is>
          <t>Retention</t>
        </is>
      </c>
      <c r="B17" t="inlineStr">
        <is>
          <t>ChurnY1</t>
        </is>
      </c>
      <c r="C17" t="n">
        <v>0.06</v>
      </c>
      <c r="D17" t="inlineStr">
        <is>
          <t>monthly</t>
        </is>
      </c>
      <c r="E17" t="inlineStr">
        <is>
          <t>Monthly churn 6% year 1.</t>
        </is>
      </c>
      <c r="L17" s="8" t="inlineStr">
        <is>
          <t>Signup conversion 2–5%: MetricHQ 2024 (sign-up rate 2–5% good), Unbounce 2024 (median 3,8% per SaaS).</t>
        </is>
      </c>
    </row>
    <row r="18">
      <c r="A18" t="inlineStr">
        <is>
          <t>Retention</t>
        </is>
      </c>
      <c r="B18" t="inlineStr">
        <is>
          <t>ChurnY2</t>
        </is>
      </c>
      <c r="C18" t="n">
        <v>0.055</v>
      </c>
      <c r="D18" t="inlineStr">
        <is>
          <t>monthly</t>
        </is>
      </c>
      <c r="E18" t="inlineStr">
        <is>
          <t>Monthly churn 5.5% year 2.</t>
        </is>
      </c>
    </row>
    <row r="19">
      <c r="A19" t="inlineStr">
        <is>
          <t>Retention</t>
        </is>
      </c>
      <c r="B19" t="inlineStr">
        <is>
          <t>ChurnY3</t>
        </is>
      </c>
      <c r="C19" t="n">
        <v>0.05</v>
      </c>
      <c r="D19" t="inlineStr">
        <is>
          <t>monthly</t>
        </is>
      </c>
      <c r="E19" t="inlineStr">
        <is>
          <t>Monthly churn 5% year 3.</t>
        </is>
      </c>
      <c r="L19" s="8" t="inlineStr">
        <is>
          <t>Trial→paid 18–25%: FirstPageSage 2025 e vari report 2024–2025 su free trial conversion.</t>
        </is>
      </c>
    </row>
    <row r="20">
      <c r="A20" t="inlineStr">
        <is>
          <t>Influencer</t>
        </is>
      </c>
      <c r="B20" t="inlineStr">
        <is>
          <t>Inf_Avg_Followers</t>
        </is>
      </c>
      <c r="C20" t="n">
        <v>1000000</v>
      </c>
      <c r="D20" t="inlineStr">
        <is>
          <t>followers</t>
        </is>
      </c>
      <c r="E20" t="inlineStr">
        <is>
          <t>Average followers per micro-influencer.</t>
        </is>
      </c>
    </row>
    <row r="21">
      <c r="A21" t="inlineStr">
        <is>
          <t>Influencer</t>
        </is>
      </c>
      <c r="B21" t="inlineStr">
        <is>
          <t>Inf_Reach_Rate</t>
        </is>
      </c>
      <c r="C21" t="n">
        <v>0.3</v>
      </c>
      <c r="D21" t="inlineStr">
        <is>
          <t>ratio</t>
        </is>
      </c>
      <c r="E21" t="inlineStr">
        <is>
          <t>Share of followers reached per collab (~30%).</t>
        </is>
      </c>
      <c r="L21" s="8" t="inlineStr">
        <is>
          <t>Churn 3–7%/mese: diversi studi su churn SaaS SMB/B2C.</t>
        </is>
      </c>
    </row>
    <row r="22">
      <c r="A22" t="inlineStr">
        <is>
          <t>Influencer</t>
        </is>
      </c>
      <c r="B22" t="inlineStr">
        <is>
          <t>Inf_Click_Rate</t>
        </is>
      </c>
      <c r="C22" t="n">
        <v>0.02</v>
      </c>
      <c r="D22" t="inlineStr">
        <is>
          <t>ratio</t>
        </is>
      </c>
      <c r="E22" t="inlineStr">
        <is>
          <t>CTR on influencer link (~2%).</t>
        </is>
      </c>
    </row>
    <row r="23">
      <c r="A23" t="inlineStr">
        <is>
          <t>Influencer</t>
        </is>
      </c>
      <c r="B23" t="inlineStr">
        <is>
          <t>Inf_Visitors_per_Collab</t>
        </is>
      </c>
      <c r="C23">
        <f>$C$20*$C$21*$C$22</f>
        <v/>
      </c>
      <c r="D23" t="inlineStr">
        <is>
          <t>visits / collab</t>
        </is>
      </c>
      <c r="E23" t="inlineStr">
        <is>
          <t>Derived: Followers * Reach * Click rate.</t>
        </is>
      </c>
      <c r="L23" s="8" t="inlineStr">
        <is>
          <t>Gross margin 70–80%: Stripe, CloudZero, Drivetrain, Software Equity 2024–2025 indicano 70–80% come range standard per SaaS.</t>
        </is>
      </c>
    </row>
    <row r="24">
      <c r="A24" t="inlineStr">
        <is>
          <t>Influencer</t>
        </is>
      </c>
      <c r="B24" t="inlineStr">
        <is>
          <t>Inf_Collabs_Y1</t>
        </is>
      </c>
      <c r="C24" t="n">
        <v>1</v>
      </c>
      <c r="D24" t="inlineStr">
        <is>
          <t>collab / month</t>
        </is>
      </c>
      <c r="E24" t="inlineStr">
        <is>
          <t>Influencer collaborations per month year 1.</t>
        </is>
      </c>
    </row>
    <row r="25">
      <c r="A25" t="inlineStr">
        <is>
          <t>Influencer</t>
        </is>
      </c>
      <c r="B25" t="inlineStr">
        <is>
          <t>Inf_Collabs_Y2</t>
        </is>
      </c>
      <c r="C25" t="n">
        <v>1</v>
      </c>
      <c r="D25" t="inlineStr">
        <is>
          <t>collab / month</t>
        </is>
      </c>
      <c r="E25" t="inlineStr">
        <is>
          <t>Influencer collaborations per month year 2.</t>
        </is>
      </c>
    </row>
    <row r="26">
      <c r="A26" t="inlineStr">
        <is>
          <t>Influencer</t>
        </is>
      </c>
      <c r="B26" t="inlineStr">
        <is>
          <t>Inf_Collabs_Y3</t>
        </is>
      </c>
      <c r="C26" t="n">
        <v>1</v>
      </c>
      <c r="D26" t="inlineStr">
        <is>
          <t>collab / month</t>
        </is>
      </c>
      <c r="E26" t="inlineStr">
        <is>
          <t>Influencer collaborations per month year 3.</t>
        </is>
      </c>
    </row>
    <row r="27">
      <c r="A27" t="inlineStr">
        <is>
          <t>Referral</t>
        </is>
      </c>
      <c r="B27" t="inlineStr">
        <is>
          <t>Referral_Monthly_Rate</t>
        </is>
      </c>
      <c r="C27" t="n">
        <v>0.02</v>
      </c>
      <c r="D27" t="inlineStr">
        <is>
          <t>per user / month</t>
        </is>
      </c>
      <c r="E27" t="inlineStr">
        <is>
          <t>Approx new referred customers per active user per month (global avg referral share ≈2.35% of sales).</t>
        </is>
      </c>
    </row>
    <row r="28">
      <c r="A28" t="inlineStr">
        <is>
          <t>Referral</t>
        </is>
      </c>
      <c r="B28" t="inlineStr">
        <is>
          <t>Referral_Reward_per_Sub</t>
        </is>
      </c>
      <c r="C28" t="n">
        <v>10</v>
      </c>
      <c r="D28" t="inlineStr">
        <is>
          <t>EUR / referred user</t>
        </is>
      </c>
      <c r="E28" t="inlineStr">
        <is>
          <t>Reward/discount value per referred customer.</t>
        </is>
      </c>
    </row>
    <row r="29">
      <c r="A29" t="inlineStr">
        <is>
          <t>Marketing</t>
        </is>
      </c>
      <c r="B29" t="inlineStr">
        <is>
          <t>Org_Cost_per_Post</t>
        </is>
      </c>
      <c r="C29" t="n">
        <v>1</v>
      </c>
      <c r="D29" t="inlineStr">
        <is>
          <t>EUR / post</t>
        </is>
      </c>
      <c r="E29" t="inlineStr">
        <is>
          <t>Content/production cost per organic post.</t>
        </is>
      </c>
    </row>
    <row r="30">
      <c r="A30" t="inlineStr">
        <is>
          <t>Marketing</t>
        </is>
      </c>
      <c r="B30" t="inlineStr">
        <is>
          <t>Influencer_Reward_per_Sub</t>
        </is>
      </c>
      <c r="C30" t="n">
        <v>10</v>
      </c>
      <c r="D30" t="inlineStr">
        <is>
          <t>EUR / new user</t>
        </is>
      </c>
      <c r="E30" t="inlineStr">
        <is>
          <t>Payout per subscription via micro-influencer.</t>
        </is>
      </c>
    </row>
    <row r="31">
      <c r="A31" t="inlineStr">
        <is>
          <t>Marketing</t>
        </is>
      </c>
      <c r="B31" t="inlineStr">
        <is>
          <t>Other_Marketing_Budget_Y1</t>
        </is>
      </c>
      <c r="C31" t="n">
        <v>200</v>
      </c>
      <c r="D31" t="inlineStr">
        <is>
          <t>EUR / month</t>
        </is>
      </c>
      <c r="E31" t="inlineStr">
        <is>
          <t>Budget for other channels (SEO, communities, PR) year 1.</t>
        </is>
      </c>
    </row>
    <row r="32">
      <c r="A32" t="inlineStr">
        <is>
          <t>Marketing</t>
        </is>
      </c>
      <c r="B32" t="inlineStr">
        <is>
          <t>Other_Marketing_Budget_Y2</t>
        </is>
      </c>
      <c r="C32" t="n">
        <v>400</v>
      </c>
      <c r="D32" t="inlineStr">
        <is>
          <t>EUR / month</t>
        </is>
      </c>
      <c r="E32" t="inlineStr">
        <is>
          <t>Budget for other channels year 2.</t>
        </is>
      </c>
    </row>
    <row r="33">
      <c r="A33" t="inlineStr">
        <is>
          <t>Marketing</t>
        </is>
      </c>
      <c r="B33" t="inlineStr">
        <is>
          <t>Other_Marketing_Budget_Y3</t>
        </is>
      </c>
      <c r="C33" t="n">
        <v>600</v>
      </c>
      <c r="D33" t="inlineStr">
        <is>
          <t>EUR / month</t>
        </is>
      </c>
      <c r="E33" t="inlineStr">
        <is>
          <t>Budget for other channels year 3.</t>
        </is>
      </c>
    </row>
    <row r="34">
      <c r="A34" t="inlineStr">
        <is>
          <t>Costs</t>
        </is>
      </c>
      <c r="B34" t="inlineStr">
        <is>
          <t>BaseFixedCost</t>
        </is>
      </c>
      <c r="C34" t="n">
        <v>1000</v>
      </c>
      <c r="D34" t="inlineStr">
        <is>
          <t>EUR / month</t>
        </is>
      </c>
      <c r="E34" t="inlineStr">
        <is>
          <t>Base fixed costs (server, tools, minimal salary).</t>
        </is>
      </c>
    </row>
    <row r="35">
      <c r="A35" t="inlineStr">
        <is>
          <t>Costs</t>
        </is>
      </c>
      <c r="B35" t="inlineStr">
        <is>
          <t>DataSub_Fee</t>
        </is>
      </c>
      <c r="C35" t="n">
        <v>2000</v>
      </c>
      <c r="D35" t="inlineStr">
        <is>
          <t>EUR / month</t>
        </is>
      </c>
      <c r="E35" t="inlineStr">
        <is>
          <t>Premium data subscription cost when MRR &gt;= threshold.</t>
        </is>
      </c>
    </row>
    <row r="36">
      <c r="A36" t="inlineStr">
        <is>
          <t>Costs</t>
        </is>
      </c>
      <c r="B36" t="inlineStr">
        <is>
          <t>DataSub_MRR_Threshold</t>
        </is>
      </c>
      <c r="C36" t="n">
        <v>5000</v>
      </c>
      <c r="D36" t="inlineStr">
        <is>
          <t>EUR MRR</t>
        </is>
      </c>
      <c r="E36" t="inlineStr">
        <is>
          <t>MRR threshold to activate data subscription.</t>
        </is>
      </c>
    </row>
    <row r="37">
      <c r="A37" t="inlineStr">
        <is>
          <t>Costs</t>
        </is>
      </c>
      <c r="B37" t="inlineStr">
        <is>
          <t>XAPI_Fee</t>
        </is>
      </c>
      <c r="C37" t="n">
        <v>5000</v>
      </c>
      <c r="D37" t="inlineStr">
        <is>
          <t>EUR / month</t>
        </is>
      </c>
      <c r="E37" t="inlineStr">
        <is>
          <t>X/Twitter API Pro-like tier when MRR &gt;= threshold.</t>
        </is>
      </c>
    </row>
    <row r="38">
      <c r="A38" t="inlineStr">
        <is>
          <t>Costs</t>
        </is>
      </c>
      <c r="B38" t="inlineStr">
        <is>
          <t>XAPI_MRR_Threshold</t>
        </is>
      </c>
      <c r="C38" t="n">
        <v>15000</v>
      </c>
      <c r="D38" t="inlineStr">
        <is>
          <t>EUR MRR</t>
        </is>
      </c>
      <c r="E38" t="inlineStr">
        <is>
          <t>MRR threshold to activate X API.</t>
        </is>
      </c>
    </row>
    <row r="39">
      <c r="A39" t="inlineStr">
        <is>
          <t>Broker</t>
        </is>
      </c>
      <c r="B39" t="inlineStr">
        <is>
          <t>Broker_MinCapital_Low</t>
        </is>
      </c>
      <c r="C39" t="n">
        <v>150000</v>
      </c>
      <c r="D39" t="inlineStr">
        <is>
          <t>EUR</t>
        </is>
      </c>
      <c r="E39" t="inlineStr">
        <is>
          <t>Lower bound capital requirement (light services).</t>
        </is>
      </c>
    </row>
    <row r="40">
      <c r="A40" t="inlineStr">
        <is>
          <t>Broker</t>
        </is>
      </c>
      <c r="B40" t="inlineStr">
        <is>
          <t>Broker_MinCapital_High</t>
        </is>
      </c>
      <c r="C40" t="n">
        <v>750000</v>
      </c>
      <c r="D40" t="inlineStr">
        <is>
          <t>EUR</t>
        </is>
      </c>
      <c r="E40" t="inlineStr">
        <is>
          <t>Higher capital requirement (dealing, underwriting).</t>
        </is>
      </c>
    </row>
    <row r="41">
      <c r="A41" t="inlineStr">
        <is>
          <t>Broker</t>
        </is>
      </c>
      <c r="B41" t="inlineStr">
        <is>
          <t>Broker_TargetCapital</t>
        </is>
      </c>
      <c r="C41" t="n">
        <v>2000000</v>
      </c>
      <c r="D41" t="inlineStr">
        <is>
          <t>EUR</t>
        </is>
      </c>
      <c r="E41" t="inlineStr">
        <is>
          <t>Target capital (regulatory + ~1 year runway).</t>
        </is>
      </c>
    </row>
    <row r="42">
      <c r="A42" t="inlineStr">
        <is>
          <t>SocialAds_Followers</t>
        </is>
      </c>
      <c r="B42" t="inlineStr">
        <is>
          <t>FollowerAds_CPM_EUR</t>
        </is>
      </c>
      <c r="C42" t="n">
        <v>7</v>
      </c>
      <c r="D42" t="inlineStr">
        <is>
          <t>EUR/1000 impressions</t>
        </is>
      </c>
      <c r="E42" t="inlineStr">
        <is>
          <t>IG ad CPM ≈2.5–3.5 $, follower campaigns un po’ più care. 7 €/1k come baseline conservativa.</t>
        </is>
      </c>
    </row>
    <row r="43">
      <c r="A43" t="inlineStr">
        <is>
          <t>SocialAds_Followers</t>
        </is>
      </c>
      <c r="B43" t="inlineStr">
        <is>
          <t>FollowerAds_Reach_to_Follower_Rate</t>
        </is>
      </c>
      <c r="C43" t="n">
        <v>0.1</v>
      </c>
      <c r="D43" t="inlineStr">
        <is>
          <t>ratio</t>
        </is>
      </c>
      <c r="E43" t="inlineStr">
        <is>
          <t>≈1% delle persone raggiunte diventano follower (range 0.5–2%).</t>
        </is>
      </c>
    </row>
    <row r="44">
      <c r="A44" t="inlineStr">
        <is>
          <t>SocialAds_Followers</t>
        </is>
      </c>
      <c r="B44" t="inlineStr">
        <is>
          <t>FollowerAds_Budget_Y1</t>
        </is>
      </c>
      <c r="C44" t="n">
        <v>500</v>
      </c>
      <c r="D44" t="inlineStr">
        <is>
          <t>EUR/month</t>
        </is>
      </c>
      <c r="E44" t="inlineStr">
        <is>
          <t>Budget mensile anno 1 per campagne follower (modificabile).</t>
        </is>
      </c>
    </row>
    <row r="45">
      <c r="A45" t="inlineStr">
        <is>
          <t>SocialAds_Followers</t>
        </is>
      </c>
      <c r="B45" t="inlineStr">
        <is>
          <t>FollowerAds_Budget_Y2</t>
        </is>
      </c>
      <c r="C45" t="n">
        <v>750</v>
      </c>
      <c r="D45" t="inlineStr">
        <is>
          <t>EUR/month</t>
        </is>
      </c>
      <c r="E45" t="inlineStr">
        <is>
          <t>Budget annuo 2 (modificabile).</t>
        </is>
      </c>
    </row>
    <row r="46">
      <c r="A46" t="inlineStr">
        <is>
          <t>SocialAds_Followers</t>
        </is>
      </c>
      <c r="B46" t="inlineStr">
        <is>
          <t>FollowerAds_Budget_Y3</t>
        </is>
      </c>
      <c r="C46" t="n">
        <v>1000</v>
      </c>
      <c r="D46" t="inlineStr">
        <is>
          <t>EUR/month</t>
        </is>
      </c>
      <c r="E46" t="inlineStr">
        <is>
          <t>Budget annuo 3 (modificabile).</t>
        </is>
      </c>
    </row>
    <row r="47">
      <c r="A47" t="inlineStr">
        <is>
          <t>Paid Social Ads</t>
        </is>
      </c>
      <c r="B47" t="inlineStr">
        <is>
          <t>ClickAds_CPC_EUR</t>
        </is>
      </c>
      <c r="C47" t="n">
        <v>2</v>
      </c>
      <c r="D47" t="inlineStr">
        <is>
          <t>EUR per click</t>
        </is>
      </c>
      <c r="E47" t="inlineStr">
        <is>
          <t>Costo medio per click per campagne link-click (Fase 2)</t>
        </is>
      </c>
    </row>
    <row r="48">
      <c r="A48" t="inlineStr">
        <is>
          <t>Paid Social Ads</t>
        </is>
      </c>
      <c r="B48" t="inlineStr">
        <is>
          <t>Follower_Threshold_For_Click_Ads</t>
        </is>
      </c>
      <c r="C48" t="n">
        <v>20000</v>
      </c>
      <c r="D48" t="inlineStr">
        <is>
          <t>followers</t>
        </is>
      </c>
      <c r="E48" t="inlineStr">
        <is>
          <t>Soglia followers per switch da Follower Ads (Fase 1) a Click Ads (Fase 2)</t>
        </is>
      </c>
    </row>
    <row r="49">
      <c r="A49" s="11" t="inlineStr">
        <is>
          <t>Ads</t>
        </is>
      </c>
      <c r="B49" s="11" t="inlineStr">
        <is>
          <t>FollowerAds_CTR_to_Site</t>
        </is>
      </c>
      <c r="C49" s="11" t="n">
        <v>0.01</v>
      </c>
      <c r="D49" s="11" t="inlineStr">
        <is>
          <t>decimal</t>
        </is>
      </c>
      <c r="E49" s="11" t="inlineStr">
        <is>
          <t>CTR from Follower Ads campaigns to website (1%)</t>
        </is>
      </c>
    </row>
    <row r="50">
      <c r="A50" t="inlineStr">
        <is>
          <t>MarketCaps</t>
        </is>
      </c>
      <c r="B50" t="inlineStr">
        <is>
          <t>Market_Max_Followers_Local</t>
        </is>
      </c>
      <c r="C50" t="n">
        <v>50000</v>
      </c>
      <c r="D50" t="inlineStr">
        <is>
          <t>followers</t>
        </is>
      </c>
      <c r="E50" t="inlineStr">
        <is>
          <t>Max follower raggiungibili nel mercato nicchia Zurigo/Svizzera</t>
        </is>
      </c>
    </row>
    <row r="51">
      <c r="A51" t="inlineStr">
        <is>
          <t>MarketCaps</t>
        </is>
      </c>
      <c r="B51" t="inlineStr">
        <is>
          <t>Market_Max_Followers_Global</t>
        </is>
      </c>
      <c r="C51" t="n">
        <v>1000000</v>
      </c>
      <c r="D51" t="inlineStr">
        <is>
          <t>followers</t>
        </is>
      </c>
      <c r="E51" t="inlineStr">
        <is>
          <t>Max follower raggiungibili a livello internazionale (espansione)</t>
        </is>
      </c>
    </row>
    <row r="52">
      <c r="A52" t="inlineStr">
        <is>
          <t>MarketCaps</t>
        </is>
      </c>
      <c r="B52" t="inlineStr">
        <is>
          <t>Market_Max_PayingUsers_Local</t>
        </is>
      </c>
      <c r="C52" t="n">
        <v>2000</v>
      </c>
      <c r="D52" t="inlineStr">
        <is>
          <t>users</t>
        </is>
      </c>
      <c r="E52" t="inlineStr">
        <is>
          <t>Max paying users nel mercato nicchia Zurigo/Svizzera (~10-20% hardcore)</t>
        </is>
      </c>
    </row>
    <row r="53">
      <c r="A53" t="inlineStr">
        <is>
          <t>MarketCaps</t>
        </is>
      </c>
      <c r="B53" t="inlineStr">
        <is>
          <t>Market_Max_PayingUsers_Global</t>
        </is>
      </c>
      <c r="C53" t="n">
        <v>25000</v>
      </c>
      <c r="D53" t="inlineStr">
        <is>
          <t>users</t>
        </is>
      </c>
      <c r="E53" t="inlineStr">
        <is>
          <t>Max paying users a livello internazionale</t>
        </is>
      </c>
    </row>
    <row r="54">
      <c r="A54" t="inlineStr">
        <is>
          <t>MarketCaps</t>
        </is>
      </c>
      <c r="B54" t="inlineStr">
        <is>
          <t>Follower_Adoption_Ramp_Months</t>
        </is>
      </c>
      <c r="C54" t="n">
        <v>24</v>
      </c>
      <c r="D54" t="inlineStr">
        <is>
          <t>months</t>
        </is>
      </c>
      <c r="E54" t="inlineStr">
        <is>
          <t>Mesi necessari per raggiungere il massimo potenziale di crescita (brand nuovo)</t>
        </is>
      </c>
    </row>
    <row r="55">
      <c r="A55" s="2" t="inlineStr">
        <is>
          <t>Year</t>
        </is>
      </c>
      <c r="B55" s="2" t="inlineStr">
        <is>
          <t>Month</t>
        </is>
      </c>
      <c r="C55" s="2" t="inlineStr">
        <is>
          <t>Followers_Start</t>
        </is>
      </c>
      <c r="D55" s="2" t="inlineStr">
        <is>
          <t>Followers_End</t>
        </is>
      </c>
      <c r="E55" s="2" t="inlineStr">
        <is>
          <t>Posts</t>
        </is>
      </c>
      <c r="F55" s="2" t="inlineStr">
        <is>
          <t>Impr_Followers</t>
        </is>
      </c>
      <c r="G55" s="2" t="inlineStr">
        <is>
          <t>Impr_NonFollowers</t>
        </is>
      </c>
      <c r="H55" s="2" t="inlineStr">
        <is>
          <t>Social_Views</t>
        </is>
      </c>
      <c r="I55" s="2" t="inlineStr">
        <is>
          <t>NewUnique_NonFollowers</t>
        </is>
      </c>
      <c r="J55" s="2" t="inlineStr">
        <is>
          <t>Org_Visitors</t>
        </is>
      </c>
      <c r="K55" s="2" t="inlineStr">
        <is>
          <t>Inf_Visitors</t>
        </is>
      </c>
      <c r="L55" s="2" t="inlineStr">
        <is>
          <t>Other_Visitors</t>
        </is>
      </c>
      <c r="M55" s="2" t="inlineStr">
        <is>
          <t>Visitors_Total</t>
        </is>
      </c>
      <c r="N55" s="2" t="inlineStr">
        <is>
          <t>Signups</t>
        </is>
      </c>
      <c r="O55" s="2" t="inlineStr">
        <is>
          <t>Org_Signups</t>
        </is>
      </c>
      <c r="P55" s="2" t="inlineStr">
        <is>
          <t>Inf_Signups</t>
        </is>
      </c>
      <c r="Q55" s="2" t="inlineStr">
        <is>
          <t>Other_Signups</t>
        </is>
      </c>
      <c r="R55" s="2" t="inlineStr">
        <is>
          <t>Referral_New_Payers</t>
        </is>
      </c>
      <c r="S55" s="2" t="inlineStr">
        <is>
          <t>Org_New_Payers</t>
        </is>
      </c>
      <c r="T55" s="2" t="inlineStr">
        <is>
          <t>Inf_New_Payers</t>
        </is>
      </c>
      <c r="U55" s="2" t="inlineStr">
        <is>
          <t>Other_New_Payers</t>
        </is>
      </c>
      <c r="V55" s="2" t="inlineStr">
        <is>
          <t>New_Paying_Users</t>
        </is>
      </c>
      <c r="W55" s="2" t="inlineStr">
        <is>
          <t>Churn_Rate</t>
        </is>
      </c>
      <c r="X55" s="2" t="inlineStr">
        <is>
          <t>Paying_Users_Start</t>
        </is>
      </c>
      <c r="Y55" s="2" t="inlineStr">
        <is>
          <t>Churned_Users</t>
        </is>
      </c>
      <c r="Z55" s="2" t="inlineStr">
        <is>
          <t>Paying_Users_End</t>
        </is>
      </c>
      <c r="AA55" s="2" t="inlineStr">
        <is>
          <t>ARPU</t>
        </is>
      </c>
      <c r="AB55" s="2" t="inlineStr">
        <is>
          <t>MRR</t>
        </is>
      </c>
      <c r="AC55" s="2" t="inlineStr">
        <is>
          <t>Org_Marketing_Spend</t>
        </is>
      </c>
      <c r="AD55" s="2" t="inlineStr">
        <is>
          <t>Inf_Marketing_Spend</t>
        </is>
      </c>
      <c r="AE55" s="2" t="inlineStr">
        <is>
          <t>Other_Marketing_Spend</t>
        </is>
      </c>
      <c r="AF55" s="2" t="inlineStr">
        <is>
          <t>Referral_Marketing_Spend</t>
        </is>
      </c>
      <c r="AG55" s="2" t="inlineStr">
        <is>
          <t>Total_Marketing_Spend</t>
        </is>
      </c>
      <c r="AH55" s="2" t="inlineStr">
        <is>
          <t>DataSub_Cost</t>
        </is>
      </c>
      <c r="AI55" s="2" t="inlineStr">
        <is>
          <t>XAPI_Cost</t>
        </is>
      </c>
      <c r="AJ55" s="2" t="inlineStr">
        <is>
          <t>Base_Fixed_Cost</t>
        </is>
      </c>
      <c r="AK55" s="2" t="inlineStr">
        <is>
          <t>Total_Costs</t>
        </is>
      </c>
      <c r="AL55" s="2" t="inlineStr">
        <is>
          <t>Net_Cash_Flow</t>
        </is>
      </c>
      <c r="AM55" s="2" t="inlineStr">
        <is>
          <t>Cumulative_Cash</t>
        </is>
      </c>
    </row>
    <row r="56">
      <c r="A56" t="n">
        <v>1</v>
      </c>
      <c r="B56" t="n">
        <v>1</v>
      </c>
      <c r="C56" s="4">
        <f>$C$8</f>
        <v/>
      </c>
      <c r="D56" s="4">
        <f>C56*(1+$C$9)</f>
        <v/>
      </c>
      <c r="E56">
        <f>IF(A56=1,$C$10,IF(A56=2,$C$11,$C$12))</f>
        <v/>
      </c>
      <c r="F56" s="6">
        <f>D56*E56*$C$13</f>
        <v/>
      </c>
      <c r="G56" s="6">
        <f>F56*$C$14</f>
        <v/>
      </c>
      <c r="H56" s="6">
        <f>F56+G56</f>
        <v/>
      </c>
      <c r="I56" s="6">
        <f>IF($C$15&gt;0,G56/$C$15,0)</f>
        <v/>
      </c>
      <c r="J56" s="6">
        <f>I56*$C$16</f>
        <v/>
      </c>
      <c r="K56">
        <f>IF(A56=1,$C$24,IF(A56=2,$C$25,$C$26))*$C$23</f>
        <v/>
      </c>
      <c r="L56" t="n">
        <v>0</v>
      </c>
      <c r="M56" s="4">
        <f>J56+K56+L56</f>
        <v/>
      </c>
      <c r="N56" s="4">
        <f>M56*$C$6</f>
        <v/>
      </c>
      <c r="O56" s="4">
        <f>IF(M56&gt;0,N56*J56/M56,0)</f>
        <v/>
      </c>
      <c r="P56">
        <f>IF(M56&gt;0,N56*K56/M56,0)</f>
        <v/>
      </c>
      <c r="Q56">
        <f>IF(M56&gt;0,N56*L56/M56,0)</f>
        <v/>
      </c>
      <c r="R56" s="4">
        <f>X56*$C$27</f>
        <v/>
      </c>
      <c r="S56" s="4">
        <f>O56*$C$7</f>
        <v/>
      </c>
      <c r="T56" s="4">
        <f>P56*$C$7</f>
        <v/>
      </c>
      <c r="U56">
        <f>Q56*$C$7</f>
        <v/>
      </c>
      <c r="V56" s="4">
        <f>R56+S56+T56+U56</f>
        <v/>
      </c>
      <c r="W56">
        <f>IF(A56=1,$C$17,IF(A56=2,$C$18,$C$19))</f>
        <v/>
      </c>
      <c r="X56" s="4" t="n">
        <v>0</v>
      </c>
      <c r="Y56" s="4">
        <f>X56*W56</f>
        <v/>
      </c>
      <c r="Z56" s="4">
        <f>X56-Y56+V56</f>
        <v/>
      </c>
      <c r="AA56" s="9">
        <f>$C$4</f>
        <v/>
      </c>
      <c r="AB56" s="9">
        <f>Z56*AA56</f>
        <v/>
      </c>
      <c r="AC56" s="9">
        <f>E56*$C$29</f>
        <v/>
      </c>
      <c r="AD56" s="9">
        <f>T56*$C$30</f>
        <v/>
      </c>
      <c r="AE56" s="9">
        <f>IF(A56=1,$C$31,IF(A56=2,$C$32,$C$33))</f>
        <v/>
      </c>
      <c r="AF56" s="9">
        <f>R56*$C$28</f>
        <v/>
      </c>
      <c r="AG56" s="9">
        <f>AC56+AD56+AE56+AF56</f>
        <v/>
      </c>
      <c r="AH56" s="9">
        <f>IF(AB56&gt;=$C$36,$C$35,0)</f>
        <v/>
      </c>
      <c r="AI56" s="9">
        <f>IF(AB56&gt;=$C$38,$C$37,0)</f>
        <v/>
      </c>
      <c r="AJ56" s="9">
        <f>$C$34</f>
        <v/>
      </c>
      <c r="AK56" s="9">
        <f>AG56+AH56+AI56+AJ56</f>
        <v/>
      </c>
      <c r="AL56" s="9">
        <f>AB56-AK56</f>
        <v/>
      </c>
      <c r="AM56" s="9">
        <f>AL56</f>
        <v/>
      </c>
    </row>
    <row r="57">
      <c r="A57" t="n">
        <v>1</v>
      </c>
      <c r="B57" t="n">
        <v>2</v>
      </c>
      <c r="C57" s="4">
        <f>D56</f>
        <v/>
      </c>
      <c r="D57" s="4">
        <f>C57*(1+$C$9)</f>
        <v/>
      </c>
      <c r="E57">
        <f>IF(A57=1,$C$10,IF(A57=2,$C$11,$C$12))</f>
        <v/>
      </c>
      <c r="F57" s="6">
        <f>D57*E57*$C$13</f>
        <v/>
      </c>
      <c r="G57" s="6">
        <f>F57*$C$14</f>
        <v/>
      </c>
      <c r="H57" s="6">
        <f>F57+G57</f>
        <v/>
      </c>
      <c r="I57" s="6">
        <f>IF($C$15&gt;0,G57/$C$15,0)</f>
        <v/>
      </c>
      <c r="J57" s="6">
        <f>I57*$C$16</f>
        <v/>
      </c>
      <c r="K57">
        <f>IF(A57=1,$C$24,IF(A57=2,$C$25,$C$26))*$C$23</f>
        <v/>
      </c>
      <c r="L57" t="n">
        <v>0</v>
      </c>
      <c r="M57" s="4">
        <f>J57+K57+L57</f>
        <v/>
      </c>
      <c r="N57" s="4">
        <f>M57*$C$6</f>
        <v/>
      </c>
      <c r="O57" s="4">
        <f>IF(M57&gt;0,N57*J57/M57,0)</f>
        <v/>
      </c>
      <c r="P57">
        <f>IF(M57&gt;0,N57*K57/M57,0)</f>
        <v/>
      </c>
      <c r="Q57">
        <f>IF(M57&gt;0,N57*L57/M57,0)</f>
        <v/>
      </c>
      <c r="R57" s="4">
        <f>X57*$C$27</f>
        <v/>
      </c>
      <c r="S57" s="4">
        <f>O57*$C$7</f>
        <v/>
      </c>
      <c r="T57" s="4">
        <f>P57*$C$7</f>
        <v/>
      </c>
      <c r="U57">
        <f>Q57*$C$7</f>
        <v/>
      </c>
      <c r="V57" s="4">
        <f>R57+S57+T57+U57</f>
        <v/>
      </c>
      <c r="W57">
        <f>IF(A57=1,$C$17,IF(A57=2,$C$18,$C$19))</f>
        <v/>
      </c>
      <c r="X57" s="4">
        <f>Z56</f>
        <v/>
      </c>
      <c r="Y57" s="4">
        <f>X57*W57</f>
        <v/>
      </c>
      <c r="Z57" s="4">
        <f>X57-Y57+V57</f>
        <v/>
      </c>
      <c r="AA57" s="9">
        <f>$C$4</f>
        <v/>
      </c>
      <c r="AB57" s="9">
        <f>Z57*AA57</f>
        <v/>
      </c>
      <c r="AC57" s="9">
        <f>E57*$C$29</f>
        <v/>
      </c>
      <c r="AD57" s="9">
        <f>T57*$C$30</f>
        <v/>
      </c>
      <c r="AE57" s="9">
        <f>IF(A57=1,$C$31,IF(A57=2,$C$32,$C$33))</f>
        <v/>
      </c>
      <c r="AF57" s="9">
        <f>R57*$C$28</f>
        <v/>
      </c>
      <c r="AG57" s="9">
        <f>AC57+AD57+AE57+AF57</f>
        <v/>
      </c>
      <c r="AH57" s="9">
        <f>IF(AB57&gt;=$C$36,$C$35,0)</f>
        <v/>
      </c>
      <c r="AI57" s="9">
        <f>IF(AB57&gt;=$C$38,$C$37,0)</f>
        <v/>
      </c>
      <c r="AJ57" s="9">
        <f>$C$34</f>
        <v/>
      </c>
      <c r="AK57" s="9">
        <f>AG57+AH57+AI57+AJ57</f>
        <v/>
      </c>
      <c r="AL57" s="9">
        <f>AB57-AK57</f>
        <v/>
      </c>
      <c r="AM57" s="9">
        <f>AM56+AL57</f>
        <v/>
      </c>
    </row>
    <row r="58">
      <c r="A58" t="n">
        <v>1</v>
      </c>
      <c r="B58" t="n">
        <v>3</v>
      </c>
      <c r="C58" s="4">
        <f>D57</f>
        <v/>
      </c>
      <c r="D58" s="4">
        <f>C58*(1+$C$9)</f>
        <v/>
      </c>
      <c r="E58">
        <f>IF(A58=1,$C$10,IF(A58=2,$C$11,$C$12))</f>
        <v/>
      </c>
      <c r="F58" s="6">
        <f>D58*E58*$C$13</f>
        <v/>
      </c>
      <c r="G58" s="6">
        <f>F58*$C$14</f>
        <v/>
      </c>
      <c r="H58" s="6">
        <f>F58+G58</f>
        <v/>
      </c>
      <c r="I58" s="6">
        <f>IF($C$15&gt;0,G58/$C$15,0)</f>
        <v/>
      </c>
      <c r="J58" s="6">
        <f>I58*$C$16</f>
        <v/>
      </c>
      <c r="K58">
        <f>IF(A58=1,$C$24,IF(A58=2,$C$25,$C$26))*$C$23</f>
        <v/>
      </c>
      <c r="L58" t="n">
        <v>0</v>
      </c>
      <c r="M58" s="4">
        <f>J58+K58+L58</f>
        <v/>
      </c>
      <c r="N58" s="4">
        <f>M58*$C$6</f>
        <v/>
      </c>
      <c r="O58" s="4">
        <f>IF(M58&gt;0,N58*J58/M58,0)</f>
        <v/>
      </c>
      <c r="P58">
        <f>IF(M58&gt;0,N58*K58/M58,0)</f>
        <v/>
      </c>
      <c r="Q58">
        <f>IF(M58&gt;0,N58*L58/M58,0)</f>
        <v/>
      </c>
      <c r="R58" s="4">
        <f>X58*$C$27</f>
        <v/>
      </c>
      <c r="S58" s="4">
        <f>O58*$C$7</f>
        <v/>
      </c>
      <c r="T58" s="4">
        <f>P58*$C$7</f>
        <v/>
      </c>
      <c r="U58">
        <f>Q58*$C$7</f>
        <v/>
      </c>
      <c r="V58" s="4">
        <f>R58+S58+T58+U58</f>
        <v/>
      </c>
      <c r="W58">
        <f>IF(A58=1,$C$17,IF(A58=2,$C$18,$C$19))</f>
        <v/>
      </c>
      <c r="X58" s="4">
        <f>Z57</f>
        <v/>
      </c>
      <c r="Y58" s="4">
        <f>X58*W58</f>
        <v/>
      </c>
      <c r="Z58" s="4">
        <f>X58-Y58+V58</f>
        <v/>
      </c>
      <c r="AA58" s="9">
        <f>$C$4</f>
        <v/>
      </c>
      <c r="AB58" s="9">
        <f>Z58*AA58</f>
        <v/>
      </c>
      <c r="AC58" s="9">
        <f>E58*$C$29</f>
        <v/>
      </c>
      <c r="AD58" s="9">
        <f>T58*$C$30</f>
        <v/>
      </c>
      <c r="AE58" s="9">
        <f>IF(A58=1,$C$31,IF(A58=2,$C$32,$C$33))</f>
        <v/>
      </c>
      <c r="AF58" s="9">
        <f>R58*$C$28</f>
        <v/>
      </c>
      <c r="AG58" s="9">
        <f>AC58+AD58+AE58+AF58</f>
        <v/>
      </c>
      <c r="AH58" s="9">
        <f>IF(AB58&gt;=$C$36,$C$35,0)</f>
        <v/>
      </c>
      <c r="AI58" s="9">
        <f>IF(AB58&gt;=$C$38,$C$37,0)</f>
        <v/>
      </c>
      <c r="AJ58" s="9">
        <f>$C$34</f>
        <v/>
      </c>
      <c r="AK58" s="9">
        <f>AG58+AH58+AI58+AJ58</f>
        <v/>
      </c>
      <c r="AL58" s="9">
        <f>AB58-AK58</f>
        <v/>
      </c>
      <c r="AM58" s="9">
        <f>AM57+AL58</f>
        <v/>
      </c>
    </row>
    <row r="59">
      <c r="A59" t="n">
        <v>1</v>
      </c>
      <c r="B59" t="n">
        <v>4</v>
      </c>
      <c r="C59" s="4">
        <f>D58</f>
        <v/>
      </c>
      <c r="D59" s="4">
        <f>C59*(1+$C$9)</f>
        <v/>
      </c>
      <c r="E59">
        <f>IF(A59=1,$C$10,IF(A59=2,$C$11,$C$12))</f>
        <v/>
      </c>
      <c r="F59" s="6">
        <f>D59*E59*$C$13</f>
        <v/>
      </c>
      <c r="G59" s="6">
        <f>F59*$C$14</f>
        <v/>
      </c>
      <c r="H59" s="6">
        <f>F59+G59</f>
        <v/>
      </c>
      <c r="I59" s="6">
        <f>IF($C$15&gt;0,G59/$C$15,0)</f>
        <v/>
      </c>
      <c r="J59" s="6">
        <f>I59*$C$16</f>
        <v/>
      </c>
      <c r="K59">
        <f>IF(A59=1,$C$24,IF(A59=2,$C$25,$C$26))*$C$23</f>
        <v/>
      </c>
      <c r="L59" t="n">
        <v>0</v>
      </c>
      <c r="M59" s="4">
        <f>J59+K59+L59</f>
        <v/>
      </c>
      <c r="N59" s="4">
        <f>M59*$C$6</f>
        <v/>
      </c>
      <c r="O59" s="4">
        <f>IF(M59&gt;0,N59*J59/M59,0)</f>
        <v/>
      </c>
      <c r="P59">
        <f>IF(M59&gt;0,N59*K59/M59,0)</f>
        <v/>
      </c>
      <c r="Q59">
        <f>IF(M59&gt;0,N59*L59/M59,0)</f>
        <v/>
      </c>
      <c r="R59" s="4">
        <f>X59*$C$27</f>
        <v/>
      </c>
      <c r="S59" s="4">
        <f>O59*$C$7</f>
        <v/>
      </c>
      <c r="T59" s="4">
        <f>P59*$C$7</f>
        <v/>
      </c>
      <c r="U59">
        <f>Q59*$C$7</f>
        <v/>
      </c>
      <c r="V59" s="4">
        <f>R59+S59+T59+U59</f>
        <v/>
      </c>
      <c r="W59">
        <f>IF(A59=1,$C$17,IF(A59=2,$C$18,$C$19))</f>
        <v/>
      </c>
      <c r="X59" s="4">
        <f>Z58</f>
        <v/>
      </c>
      <c r="Y59" s="4">
        <f>X59*W59</f>
        <v/>
      </c>
      <c r="Z59" s="4">
        <f>X59-Y59+V59</f>
        <v/>
      </c>
      <c r="AA59" s="9">
        <f>$C$4</f>
        <v/>
      </c>
      <c r="AB59" s="9">
        <f>Z59*AA59</f>
        <v/>
      </c>
      <c r="AC59" s="9">
        <f>E59*$C$29</f>
        <v/>
      </c>
      <c r="AD59" s="9">
        <f>T59*$C$30</f>
        <v/>
      </c>
      <c r="AE59" s="9">
        <f>IF(A59=1,$C$31,IF(A59=2,$C$32,$C$33))</f>
        <v/>
      </c>
      <c r="AF59" s="9">
        <f>R59*$C$28</f>
        <v/>
      </c>
      <c r="AG59" s="9">
        <f>AC59+AD59+AE59+AF59</f>
        <v/>
      </c>
      <c r="AH59" s="9">
        <f>IF(AB59&gt;=$C$36,$C$35,0)</f>
        <v/>
      </c>
      <c r="AI59" s="9">
        <f>IF(AB59&gt;=$C$38,$C$37,0)</f>
        <v/>
      </c>
      <c r="AJ59" s="9">
        <f>$C$34</f>
        <v/>
      </c>
      <c r="AK59" s="9">
        <f>AG59+AH59+AI59+AJ59</f>
        <v/>
      </c>
      <c r="AL59" s="9">
        <f>AB59-AK59</f>
        <v/>
      </c>
      <c r="AM59" s="9">
        <f>AM58+AL59</f>
        <v/>
      </c>
    </row>
    <row r="60">
      <c r="A60" t="n">
        <v>1</v>
      </c>
      <c r="B60" t="n">
        <v>5</v>
      </c>
      <c r="C60" s="4">
        <f>D59</f>
        <v/>
      </c>
      <c r="D60" s="4">
        <f>C60*(1+$C$9)</f>
        <v/>
      </c>
      <c r="E60">
        <f>IF(A60=1,$C$10,IF(A60=2,$C$11,$C$12))</f>
        <v/>
      </c>
      <c r="F60" s="6">
        <f>D60*E60*$C$13</f>
        <v/>
      </c>
      <c r="G60" s="6">
        <f>F60*$C$14</f>
        <v/>
      </c>
      <c r="H60" s="6">
        <f>F60+G60</f>
        <v/>
      </c>
      <c r="I60" s="6">
        <f>IF($C$15&gt;0,G60/$C$15,0)</f>
        <v/>
      </c>
      <c r="J60" s="6">
        <f>I60*$C$16</f>
        <v/>
      </c>
      <c r="K60">
        <f>IF(A60=1,$C$24,IF(A60=2,$C$25,$C$26))*$C$23</f>
        <v/>
      </c>
      <c r="L60" t="n">
        <v>0</v>
      </c>
      <c r="M60" s="4">
        <f>J60+K60+L60</f>
        <v/>
      </c>
      <c r="N60" s="4">
        <f>M60*$C$6</f>
        <v/>
      </c>
      <c r="O60" s="4">
        <f>IF(M60&gt;0,N60*J60/M60,0)</f>
        <v/>
      </c>
      <c r="P60">
        <f>IF(M60&gt;0,N60*K60/M60,0)</f>
        <v/>
      </c>
      <c r="Q60">
        <f>IF(M60&gt;0,N60*L60/M60,0)</f>
        <v/>
      </c>
      <c r="R60" s="4">
        <f>X60*$C$27</f>
        <v/>
      </c>
      <c r="S60" s="4">
        <f>O60*$C$7</f>
        <v/>
      </c>
      <c r="T60" s="4">
        <f>P60*$C$7</f>
        <v/>
      </c>
      <c r="U60">
        <f>Q60*$C$7</f>
        <v/>
      </c>
      <c r="V60" s="4">
        <f>R60+S60+T60+U60</f>
        <v/>
      </c>
      <c r="W60">
        <f>IF(A60=1,$C$17,IF(A60=2,$C$18,$C$19))</f>
        <v/>
      </c>
      <c r="X60" s="4">
        <f>Z59</f>
        <v/>
      </c>
      <c r="Y60" s="4">
        <f>X60*W60</f>
        <v/>
      </c>
      <c r="Z60" s="4">
        <f>X60-Y60+V60</f>
        <v/>
      </c>
      <c r="AA60" s="9">
        <f>$C$4</f>
        <v/>
      </c>
      <c r="AB60" s="9">
        <f>Z60*AA60</f>
        <v/>
      </c>
      <c r="AC60" s="9">
        <f>E60*$C$29</f>
        <v/>
      </c>
      <c r="AD60" s="9">
        <f>T60*$C$30</f>
        <v/>
      </c>
      <c r="AE60" s="9">
        <f>IF(A60=1,$C$31,IF(A60=2,$C$32,$C$33))</f>
        <v/>
      </c>
      <c r="AF60" s="9">
        <f>R60*$C$28</f>
        <v/>
      </c>
      <c r="AG60" s="9">
        <f>AC60+AD60+AE60+AF60</f>
        <v/>
      </c>
      <c r="AH60" s="9">
        <f>IF(AB60&gt;=$C$36,$C$35,0)</f>
        <v/>
      </c>
      <c r="AI60" s="9">
        <f>IF(AB60&gt;=$C$38,$C$37,0)</f>
        <v/>
      </c>
      <c r="AJ60" s="9">
        <f>$C$34</f>
        <v/>
      </c>
      <c r="AK60" s="9">
        <f>AG60+AH60+AI60+AJ60</f>
        <v/>
      </c>
      <c r="AL60" s="9">
        <f>AB60-AK60</f>
        <v/>
      </c>
      <c r="AM60" s="9">
        <f>AM59+AL60</f>
        <v/>
      </c>
    </row>
    <row r="61">
      <c r="A61" t="n">
        <v>1</v>
      </c>
      <c r="B61" t="n">
        <v>6</v>
      </c>
      <c r="C61" s="4">
        <f>D60</f>
        <v/>
      </c>
      <c r="D61" s="4">
        <f>C61*(1+$C$9)</f>
        <v/>
      </c>
      <c r="E61">
        <f>IF(A61=1,$C$10,IF(A61=2,$C$11,$C$12))</f>
        <v/>
      </c>
      <c r="F61" s="6">
        <f>D61*E61*$C$13</f>
        <v/>
      </c>
      <c r="G61" s="6">
        <f>F61*$C$14</f>
        <v/>
      </c>
      <c r="H61" s="6">
        <f>F61+G61</f>
        <v/>
      </c>
      <c r="I61" s="6">
        <f>IF($C$15&gt;0,G61/$C$15,0)</f>
        <v/>
      </c>
      <c r="J61" s="6">
        <f>I61*$C$16</f>
        <v/>
      </c>
      <c r="K61">
        <f>IF(A61=1,$C$24,IF(A61=2,$C$25,$C$26))*$C$23</f>
        <v/>
      </c>
      <c r="L61" t="n">
        <v>0</v>
      </c>
      <c r="M61" s="4">
        <f>J61+K61+L61</f>
        <v/>
      </c>
      <c r="N61" s="4">
        <f>M61*$C$6</f>
        <v/>
      </c>
      <c r="O61" s="4">
        <f>IF(M61&gt;0,N61*J61/M61,0)</f>
        <v/>
      </c>
      <c r="P61">
        <f>IF(M61&gt;0,N61*K61/M61,0)</f>
        <v/>
      </c>
      <c r="Q61">
        <f>IF(M61&gt;0,N61*L61/M61,0)</f>
        <v/>
      </c>
      <c r="R61" s="4">
        <f>X61*$C$27</f>
        <v/>
      </c>
      <c r="S61" s="4">
        <f>O61*$C$7</f>
        <v/>
      </c>
      <c r="T61" s="4">
        <f>P61*$C$7</f>
        <v/>
      </c>
      <c r="U61">
        <f>Q61*$C$7</f>
        <v/>
      </c>
      <c r="V61" s="4">
        <f>R61+S61+T61+U61</f>
        <v/>
      </c>
      <c r="W61">
        <f>IF(A61=1,$C$17,IF(A61=2,$C$18,$C$19))</f>
        <v/>
      </c>
      <c r="X61" s="4">
        <f>Z60</f>
        <v/>
      </c>
      <c r="Y61" s="4">
        <f>X61*W61</f>
        <v/>
      </c>
      <c r="Z61" s="4">
        <f>X61-Y61+V61</f>
        <v/>
      </c>
      <c r="AA61" s="9">
        <f>$C$4</f>
        <v/>
      </c>
      <c r="AB61" s="9">
        <f>Z61*AA61</f>
        <v/>
      </c>
      <c r="AC61" s="9">
        <f>E61*$C$29</f>
        <v/>
      </c>
      <c r="AD61" s="9">
        <f>T61*$C$30</f>
        <v/>
      </c>
      <c r="AE61" s="9">
        <f>IF(A61=1,$C$31,IF(A61=2,$C$32,$C$33))</f>
        <v/>
      </c>
      <c r="AF61" s="9">
        <f>R61*$C$28</f>
        <v/>
      </c>
      <c r="AG61" s="9">
        <f>AC61+AD61+AE61+AF61</f>
        <v/>
      </c>
      <c r="AH61" s="9">
        <f>IF(AB61&gt;=$C$36,$C$35,0)</f>
        <v/>
      </c>
      <c r="AI61" s="9">
        <f>IF(AB61&gt;=$C$38,$C$37,0)</f>
        <v/>
      </c>
      <c r="AJ61" s="9">
        <f>$C$34</f>
        <v/>
      </c>
      <c r="AK61" s="9">
        <f>AG61+AH61+AI61+AJ61</f>
        <v/>
      </c>
      <c r="AL61" s="9">
        <f>AB61-AK61</f>
        <v/>
      </c>
      <c r="AM61" s="9">
        <f>AM60+AL61</f>
        <v/>
      </c>
    </row>
    <row r="62">
      <c r="A62" t="n">
        <v>1</v>
      </c>
      <c r="B62" t="n">
        <v>7</v>
      </c>
      <c r="C62" s="4">
        <f>D61</f>
        <v/>
      </c>
      <c r="D62" s="4">
        <f>C62*(1+$C$9)</f>
        <v/>
      </c>
      <c r="E62">
        <f>IF(A62=1,$C$10,IF(A62=2,$C$11,$C$12))</f>
        <v/>
      </c>
      <c r="F62" s="6">
        <f>D62*E62*$C$13</f>
        <v/>
      </c>
      <c r="G62" s="6">
        <f>F62*$C$14</f>
        <v/>
      </c>
      <c r="H62" s="6">
        <f>F62+G62</f>
        <v/>
      </c>
      <c r="I62" s="6">
        <f>IF($C$15&gt;0,G62/$C$15,0)</f>
        <v/>
      </c>
      <c r="J62" s="6">
        <f>I62*$C$16</f>
        <v/>
      </c>
      <c r="K62">
        <f>IF(A62=1,$C$24,IF(A62=2,$C$25,$C$26))*$C$23</f>
        <v/>
      </c>
      <c r="L62" t="n">
        <v>0</v>
      </c>
      <c r="M62" s="4">
        <f>J62+K62+L62</f>
        <v/>
      </c>
      <c r="N62" s="4">
        <f>M62*$C$6</f>
        <v/>
      </c>
      <c r="O62" s="4">
        <f>IF(M62&gt;0,N62*J62/M62,0)</f>
        <v/>
      </c>
      <c r="P62">
        <f>IF(M62&gt;0,N62*K62/M62,0)</f>
        <v/>
      </c>
      <c r="Q62">
        <f>IF(M62&gt;0,N62*L62/M62,0)</f>
        <v/>
      </c>
      <c r="R62" s="4">
        <f>X62*$C$27</f>
        <v/>
      </c>
      <c r="S62" s="4">
        <f>O62*$C$7</f>
        <v/>
      </c>
      <c r="T62" s="4">
        <f>P62*$C$7</f>
        <v/>
      </c>
      <c r="U62">
        <f>Q62*$C$7</f>
        <v/>
      </c>
      <c r="V62" s="4">
        <f>R62+S62+T62+U62</f>
        <v/>
      </c>
      <c r="W62">
        <f>IF(A62=1,$C$17,IF(A62=2,$C$18,$C$19))</f>
        <v/>
      </c>
      <c r="X62" s="4">
        <f>Z61</f>
        <v/>
      </c>
      <c r="Y62" s="4">
        <f>X62*W62</f>
        <v/>
      </c>
      <c r="Z62" s="4">
        <f>X62-Y62+V62</f>
        <v/>
      </c>
      <c r="AA62" s="9">
        <f>$C$4</f>
        <v/>
      </c>
      <c r="AB62" s="9">
        <f>Z62*AA62</f>
        <v/>
      </c>
      <c r="AC62" s="9">
        <f>E62*$C$29</f>
        <v/>
      </c>
      <c r="AD62" s="9">
        <f>T62*$C$30</f>
        <v/>
      </c>
      <c r="AE62" s="9">
        <f>IF(A62=1,$C$31,IF(A62=2,$C$32,$C$33))</f>
        <v/>
      </c>
      <c r="AF62" s="9">
        <f>R62*$C$28</f>
        <v/>
      </c>
      <c r="AG62" s="9">
        <f>AC62+AD62+AE62+AF62</f>
        <v/>
      </c>
      <c r="AH62" s="9">
        <f>IF(AB62&gt;=$C$36,$C$35,0)</f>
        <v/>
      </c>
      <c r="AI62" s="9">
        <f>IF(AB62&gt;=$C$38,$C$37,0)</f>
        <v/>
      </c>
      <c r="AJ62" s="9">
        <f>$C$34</f>
        <v/>
      </c>
      <c r="AK62" s="9">
        <f>AG62+AH62+AI62+AJ62</f>
        <v/>
      </c>
      <c r="AL62" s="9">
        <f>AB62-AK62</f>
        <v/>
      </c>
      <c r="AM62" s="9">
        <f>AM61+AL62</f>
        <v/>
      </c>
    </row>
    <row r="63">
      <c r="A63" t="n">
        <v>1</v>
      </c>
      <c r="B63" t="n">
        <v>8</v>
      </c>
      <c r="C63" s="4">
        <f>D62</f>
        <v/>
      </c>
      <c r="D63" s="4">
        <f>C63*(1+$C$9)</f>
        <v/>
      </c>
      <c r="E63">
        <f>IF(A63=1,$C$10,IF(A63=2,$C$11,$C$12))</f>
        <v/>
      </c>
      <c r="F63" s="6">
        <f>D63*E63*$C$13</f>
        <v/>
      </c>
      <c r="G63" s="6">
        <f>F63*$C$14</f>
        <v/>
      </c>
      <c r="H63" s="6">
        <f>F63+G63</f>
        <v/>
      </c>
      <c r="I63" s="6">
        <f>IF($C$15&gt;0,G63/$C$15,0)</f>
        <v/>
      </c>
      <c r="J63" s="6">
        <f>I63*$C$16</f>
        <v/>
      </c>
      <c r="K63">
        <f>IF(A63=1,$C$24,IF(A63=2,$C$25,$C$26))*$C$23</f>
        <v/>
      </c>
      <c r="L63" t="n">
        <v>0</v>
      </c>
      <c r="M63" s="4">
        <f>J63+K63+L63</f>
        <v/>
      </c>
      <c r="N63" s="4">
        <f>M63*$C$6</f>
        <v/>
      </c>
      <c r="O63" s="4">
        <f>IF(M63&gt;0,N63*J63/M63,0)</f>
        <v/>
      </c>
      <c r="P63">
        <f>IF(M63&gt;0,N63*K63/M63,0)</f>
        <v/>
      </c>
      <c r="Q63">
        <f>IF(M63&gt;0,N63*L63/M63,0)</f>
        <v/>
      </c>
      <c r="R63" s="4">
        <f>X63*$C$27</f>
        <v/>
      </c>
      <c r="S63" s="4">
        <f>O63*$C$7</f>
        <v/>
      </c>
      <c r="T63" s="4">
        <f>P63*$C$7</f>
        <v/>
      </c>
      <c r="U63">
        <f>Q63*$C$7</f>
        <v/>
      </c>
      <c r="V63" s="4">
        <f>R63+S63+T63+U63</f>
        <v/>
      </c>
      <c r="W63">
        <f>IF(A63=1,$C$17,IF(A63=2,$C$18,$C$19))</f>
        <v/>
      </c>
      <c r="X63" s="4">
        <f>Z62</f>
        <v/>
      </c>
      <c r="Y63" s="4">
        <f>X63*W63</f>
        <v/>
      </c>
      <c r="Z63" s="4">
        <f>X63-Y63+V63</f>
        <v/>
      </c>
      <c r="AA63" s="9">
        <f>$C$4</f>
        <v/>
      </c>
      <c r="AB63" s="9">
        <f>Z63*AA63</f>
        <v/>
      </c>
      <c r="AC63" s="9">
        <f>E63*$C$29</f>
        <v/>
      </c>
      <c r="AD63" s="9">
        <f>T63*$C$30</f>
        <v/>
      </c>
      <c r="AE63" s="9">
        <f>IF(A63=1,$C$31,IF(A63=2,$C$32,$C$33))</f>
        <v/>
      </c>
      <c r="AF63" s="9">
        <f>R63*$C$28</f>
        <v/>
      </c>
      <c r="AG63" s="9">
        <f>AC63+AD63+AE63+AF63</f>
        <v/>
      </c>
      <c r="AH63" s="9">
        <f>IF(AB63&gt;=$C$36,$C$35,0)</f>
        <v/>
      </c>
      <c r="AI63" s="9">
        <f>IF(AB63&gt;=$C$38,$C$37,0)</f>
        <v/>
      </c>
      <c r="AJ63" s="9">
        <f>$C$34</f>
        <v/>
      </c>
      <c r="AK63" s="9">
        <f>AG63+AH63+AI63+AJ63</f>
        <v/>
      </c>
      <c r="AL63" s="9">
        <f>AB63-AK63</f>
        <v/>
      </c>
      <c r="AM63" s="9">
        <f>AM62+AL63</f>
        <v/>
      </c>
    </row>
    <row r="64">
      <c r="A64" t="n">
        <v>1</v>
      </c>
      <c r="B64" t="n">
        <v>9</v>
      </c>
      <c r="C64" s="4">
        <f>D63</f>
        <v/>
      </c>
      <c r="D64" s="4">
        <f>C64*(1+$C$9)</f>
        <v/>
      </c>
      <c r="E64">
        <f>IF(A64=1,$C$10,IF(A64=2,$C$11,$C$12))</f>
        <v/>
      </c>
      <c r="F64" s="6">
        <f>D64*E64*$C$13</f>
        <v/>
      </c>
      <c r="G64" s="6">
        <f>F64*$C$14</f>
        <v/>
      </c>
      <c r="H64" s="6">
        <f>F64+G64</f>
        <v/>
      </c>
      <c r="I64" s="6">
        <f>IF($C$15&gt;0,G64/$C$15,0)</f>
        <v/>
      </c>
      <c r="J64" s="6">
        <f>I64*$C$16</f>
        <v/>
      </c>
      <c r="K64">
        <f>IF(A64=1,$C$24,IF(A64=2,$C$25,$C$26))*$C$23</f>
        <v/>
      </c>
      <c r="L64" t="n">
        <v>0</v>
      </c>
      <c r="M64" s="4">
        <f>J64+K64+L64</f>
        <v/>
      </c>
      <c r="N64" s="4">
        <f>M64*$C$6</f>
        <v/>
      </c>
      <c r="O64" s="4">
        <f>IF(M64&gt;0,N64*J64/M64,0)</f>
        <v/>
      </c>
      <c r="P64">
        <f>IF(M64&gt;0,N64*K64/M64,0)</f>
        <v/>
      </c>
      <c r="Q64">
        <f>IF(M64&gt;0,N64*L64/M64,0)</f>
        <v/>
      </c>
      <c r="R64" s="4">
        <f>X64*$C$27</f>
        <v/>
      </c>
      <c r="S64" s="4">
        <f>O64*$C$7</f>
        <v/>
      </c>
      <c r="T64" s="4">
        <f>P64*$C$7</f>
        <v/>
      </c>
      <c r="U64">
        <f>Q64*$C$7</f>
        <v/>
      </c>
      <c r="V64" s="4">
        <f>R64+S64+T64+U64</f>
        <v/>
      </c>
      <c r="W64">
        <f>IF(A64=1,$C$17,IF(A64=2,$C$18,$C$19))</f>
        <v/>
      </c>
      <c r="X64" s="4">
        <f>Z63</f>
        <v/>
      </c>
      <c r="Y64" s="4">
        <f>X64*W64</f>
        <v/>
      </c>
      <c r="Z64" s="4">
        <f>X64-Y64+V64</f>
        <v/>
      </c>
      <c r="AA64" s="9">
        <f>$C$4</f>
        <v/>
      </c>
      <c r="AB64" s="9">
        <f>Z64*AA64</f>
        <v/>
      </c>
      <c r="AC64" s="9">
        <f>E64*$C$29</f>
        <v/>
      </c>
      <c r="AD64" s="9">
        <f>T64*$C$30</f>
        <v/>
      </c>
      <c r="AE64" s="9">
        <f>IF(A64=1,$C$31,IF(A64=2,$C$32,$C$33))</f>
        <v/>
      </c>
      <c r="AF64" s="9">
        <f>R64*$C$28</f>
        <v/>
      </c>
      <c r="AG64" s="9">
        <f>AC64+AD64+AE64+AF64</f>
        <v/>
      </c>
      <c r="AH64" s="9">
        <f>IF(AB64&gt;=$C$36,$C$35,0)</f>
        <v/>
      </c>
      <c r="AI64" s="9">
        <f>IF(AB64&gt;=$C$38,$C$37,0)</f>
        <v/>
      </c>
      <c r="AJ64" s="9">
        <f>$C$34</f>
        <v/>
      </c>
      <c r="AK64" s="9">
        <f>AG64+AH64+AI64+AJ64</f>
        <v/>
      </c>
      <c r="AL64" s="9">
        <f>AB64-AK64</f>
        <v/>
      </c>
      <c r="AM64" s="9">
        <f>AM63+AL64</f>
        <v/>
      </c>
    </row>
    <row r="65">
      <c r="A65" t="n">
        <v>1</v>
      </c>
      <c r="B65" t="n">
        <v>10</v>
      </c>
      <c r="C65" s="4">
        <f>D64</f>
        <v/>
      </c>
      <c r="D65" s="4">
        <f>C65*(1+$C$9)</f>
        <v/>
      </c>
      <c r="E65">
        <f>IF(A65=1,$C$10,IF(A65=2,$C$11,$C$12))</f>
        <v/>
      </c>
      <c r="F65" s="6">
        <f>D65*E65*$C$13</f>
        <v/>
      </c>
      <c r="G65" s="6">
        <f>F65*$C$14</f>
        <v/>
      </c>
      <c r="H65" s="6">
        <f>F65+G65</f>
        <v/>
      </c>
      <c r="I65" s="6">
        <f>IF($C$15&gt;0,G65/$C$15,0)</f>
        <v/>
      </c>
      <c r="J65" s="6">
        <f>I65*$C$16</f>
        <v/>
      </c>
      <c r="K65">
        <f>IF(A65=1,$C$24,IF(A65=2,$C$25,$C$26))*$C$23</f>
        <v/>
      </c>
      <c r="L65" t="n">
        <v>0</v>
      </c>
      <c r="M65" s="4">
        <f>J65+K65+L65</f>
        <v/>
      </c>
      <c r="N65" s="4">
        <f>M65*$C$6</f>
        <v/>
      </c>
      <c r="O65" s="4">
        <f>IF(M65&gt;0,N65*J65/M65,0)</f>
        <v/>
      </c>
      <c r="P65">
        <f>IF(M65&gt;0,N65*K65/M65,0)</f>
        <v/>
      </c>
      <c r="Q65">
        <f>IF(M65&gt;0,N65*L65/M65,0)</f>
        <v/>
      </c>
      <c r="R65" s="4">
        <f>X65*$C$27</f>
        <v/>
      </c>
      <c r="S65" s="4">
        <f>O65*$C$7</f>
        <v/>
      </c>
      <c r="T65" s="4">
        <f>P65*$C$7</f>
        <v/>
      </c>
      <c r="U65">
        <f>Q65*$C$7</f>
        <v/>
      </c>
      <c r="V65" s="4">
        <f>R65+S65+T65+U65</f>
        <v/>
      </c>
      <c r="W65">
        <f>IF(A65=1,$C$17,IF(A65=2,$C$18,$C$19))</f>
        <v/>
      </c>
      <c r="X65" s="4">
        <f>Z64</f>
        <v/>
      </c>
      <c r="Y65" s="4">
        <f>X65*W65</f>
        <v/>
      </c>
      <c r="Z65" s="4">
        <f>X65-Y65+V65</f>
        <v/>
      </c>
      <c r="AA65" s="9">
        <f>$C$4</f>
        <v/>
      </c>
      <c r="AB65" s="9">
        <f>Z65*AA65</f>
        <v/>
      </c>
      <c r="AC65" s="9">
        <f>E65*$C$29</f>
        <v/>
      </c>
      <c r="AD65" s="9">
        <f>T65*$C$30</f>
        <v/>
      </c>
      <c r="AE65" s="9">
        <f>IF(A65=1,$C$31,IF(A65=2,$C$32,$C$33))</f>
        <v/>
      </c>
      <c r="AF65" s="9">
        <f>R65*$C$28</f>
        <v/>
      </c>
      <c r="AG65" s="9">
        <f>AC65+AD65+AE65+AF65</f>
        <v/>
      </c>
      <c r="AH65" s="9">
        <f>IF(AB65&gt;=$C$36,$C$35,0)</f>
        <v/>
      </c>
      <c r="AI65" s="9">
        <f>IF(AB65&gt;=$C$38,$C$37,0)</f>
        <v/>
      </c>
      <c r="AJ65" s="9">
        <f>$C$34</f>
        <v/>
      </c>
      <c r="AK65" s="9">
        <f>AG65+AH65+AI65+AJ65</f>
        <v/>
      </c>
      <c r="AL65" s="9">
        <f>AB65-AK65</f>
        <v/>
      </c>
      <c r="AM65" s="9">
        <f>AM64+AL65</f>
        <v/>
      </c>
    </row>
    <row r="66">
      <c r="A66" t="n">
        <v>1</v>
      </c>
      <c r="B66" t="n">
        <v>11</v>
      </c>
      <c r="C66" s="4">
        <f>D65</f>
        <v/>
      </c>
      <c r="D66" s="4">
        <f>C66*(1+$C$9)</f>
        <v/>
      </c>
      <c r="E66">
        <f>IF(A66=1,$C$10,IF(A66=2,$C$11,$C$12))</f>
        <v/>
      </c>
      <c r="F66" s="6">
        <f>D66*E66*$C$13</f>
        <v/>
      </c>
      <c r="G66" s="6">
        <f>F66*$C$14</f>
        <v/>
      </c>
      <c r="H66" s="6">
        <f>F66+G66</f>
        <v/>
      </c>
      <c r="I66" s="6">
        <f>IF($C$15&gt;0,G66/$C$15,0)</f>
        <v/>
      </c>
      <c r="J66" s="6">
        <f>I66*$C$16</f>
        <v/>
      </c>
      <c r="K66">
        <f>IF(A66=1,$C$24,IF(A66=2,$C$25,$C$26))*$C$23</f>
        <v/>
      </c>
      <c r="L66" t="n">
        <v>0</v>
      </c>
      <c r="M66" s="4">
        <f>J66+K66+L66</f>
        <v/>
      </c>
      <c r="N66" s="4">
        <f>M66*$C$6</f>
        <v/>
      </c>
      <c r="O66" s="4">
        <f>IF(M66&gt;0,N66*J66/M66,0)</f>
        <v/>
      </c>
      <c r="P66">
        <f>IF(M66&gt;0,N66*K66/M66,0)</f>
        <v/>
      </c>
      <c r="Q66">
        <f>IF(M66&gt;0,N66*L66/M66,0)</f>
        <v/>
      </c>
      <c r="R66" s="4">
        <f>X66*$C$27</f>
        <v/>
      </c>
      <c r="S66" s="4">
        <f>O66*$C$7</f>
        <v/>
      </c>
      <c r="T66" s="4">
        <f>P66*$C$7</f>
        <v/>
      </c>
      <c r="U66">
        <f>Q66*$C$7</f>
        <v/>
      </c>
      <c r="V66" s="4">
        <f>R66+S66+T66+U66</f>
        <v/>
      </c>
      <c r="W66">
        <f>IF(A66=1,$C$17,IF(A66=2,$C$18,$C$19))</f>
        <v/>
      </c>
      <c r="X66" s="4">
        <f>Z65</f>
        <v/>
      </c>
      <c r="Y66" s="4">
        <f>X66*W66</f>
        <v/>
      </c>
      <c r="Z66" s="4">
        <f>X66-Y66+V66</f>
        <v/>
      </c>
      <c r="AA66" s="9">
        <f>$C$4</f>
        <v/>
      </c>
      <c r="AB66" s="9">
        <f>Z66*AA66</f>
        <v/>
      </c>
      <c r="AC66" s="9">
        <f>E66*$C$29</f>
        <v/>
      </c>
      <c r="AD66" s="9">
        <f>T66*$C$30</f>
        <v/>
      </c>
      <c r="AE66" s="9">
        <f>IF(A66=1,$C$31,IF(A66=2,$C$32,$C$33))</f>
        <v/>
      </c>
      <c r="AF66" s="9">
        <f>R66*$C$28</f>
        <v/>
      </c>
      <c r="AG66" s="9">
        <f>AC66+AD66+AE66+AF66</f>
        <v/>
      </c>
      <c r="AH66" s="9">
        <f>IF(AB66&gt;=$C$36,$C$35,0)</f>
        <v/>
      </c>
      <c r="AI66" s="9">
        <f>IF(AB66&gt;=$C$38,$C$37,0)</f>
        <v/>
      </c>
      <c r="AJ66" s="9">
        <f>$C$34</f>
        <v/>
      </c>
      <c r="AK66" s="9">
        <f>AG66+AH66+AI66+AJ66</f>
        <v/>
      </c>
      <c r="AL66" s="9">
        <f>AB66-AK66</f>
        <v/>
      </c>
      <c r="AM66" s="9">
        <f>AM65+AL66</f>
        <v/>
      </c>
    </row>
    <row r="67">
      <c r="A67" t="n">
        <v>1</v>
      </c>
      <c r="B67" t="n">
        <v>12</v>
      </c>
      <c r="C67" s="4">
        <f>D66</f>
        <v/>
      </c>
      <c r="D67" s="4">
        <f>C67*(1+$C$9)</f>
        <v/>
      </c>
      <c r="E67">
        <f>IF(A67=1,$C$10,IF(A67=2,$C$11,$C$12))</f>
        <v/>
      </c>
      <c r="F67" s="6">
        <f>D67*E67*$C$13</f>
        <v/>
      </c>
      <c r="G67" s="6">
        <f>F67*$C$14</f>
        <v/>
      </c>
      <c r="H67" s="6">
        <f>F67+G67</f>
        <v/>
      </c>
      <c r="I67" s="6">
        <f>IF($C$15&gt;0,G67/$C$15,0)</f>
        <v/>
      </c>
      <c r="J67" s="6">
        <f>I67*$C$16</f>
        <v/>
      </c>
      <c r="K67">
        <f>IF(A67=1,$C$24,IF(A67=2,$C$25,$C$26))*$C$23</f>
        <v/>
      </c>
      <c r="L67" t="n">
        <v>0</v>
      </c>
      <c r="M67" s="4">
        <f>J67+K67+L67</f>
        <v/>
      </c>
      <c r="N67" s="4">
        <f>M67*$C$6</f>
        <v/>
      </c>
      <c r="O67" s="4">
        <f>IF(M67&gt;0,N67*J67/M67,0)</f>
        <v/>
      </c>
      <c r="P67">
        <f>IF(M67&gt;0,N67*K67/M67,0)</f>
        <v/>
      </c>
      <c r="Q67">
        <f>IF(M67&gt;0,N67*L67/M67,0)</f>
        <v/>
      </c>
      <c r="R67" s="4">
        <f>X67*$C$27</f>
        <v/>
      </c>
      <c r="S67" s="4">
        <f>O67*$C$7</f>
        <v/>
      </c>
      <c r="T67" s="4">
        <f>P67*$C$7</f>
        <v/>
      </c>
      <c r="U67">
        <f>Q67*$C$7</f>
        <v/>
      </c>
      <c r="V67" s="4">
        <f>R67+S67+T67+U67</f>
        <v/>
      </c>
      <c r="W67">
        <f>IF(A67=1,$C$17,IF(A67=2,$C$18,$C$19))</f>
        <v/>
      </c>
      <c r="X67" s="4">
        <f>Z66</f>
        <v/>
      </c>
      <c r="Y67" s="4">
        <f>X67*W67</f>
        <v/>
      </c>
      <c r="Z67" s="4">
        <f>X67-Y67+V67</f>
        <v/>
      </c>
      <c r="AA67" s="9">
        <f>$C$4</f>
        <v/>
      </c>
      <c r="AB67" s="9">
        <f>Z67*AA67</f>
        <v/>
      </c>
      <c r="AC67" s="9">
        <f>E67*$C$29</f>
        <v/>
      </c>
      <c r="AD67" s="9">
        <f>T67*$C$30</f>
        <v/>
      </c>
      <c r="AE67" s="9">
        <f>IF(A67=1,$C$31,IF(A67=2,$C$32,$C$33))</f>
        <v/>
      </c>
      <c r="AF67" s="9">
        <f>R67*$C$28</f>
        <v/>
      </c>
      <c r="AG67" s="9">
        <f>AC67+AD67+AE67+AF67</f>
        <v/>
      </c>
      <c r="AH67" s="9">
        <f>IF(AB67&gt;=$C$36,$C$35,0)</f>
        <v/>
      </c>
      <c r="AI67" s="9">
        <f>IF(AB67&gt;=$C$38,$C$37,0)</f>
        <v/>
      </c>
      <c r="AJ67" s="9">
        <f>$C$34</f>
        <v/>
      </c>
      <c r="AK67" s="9">
        <f>AG67+AH67+AI67+AJ67</f>
        <v/>
      </c>
      <c r="AL67" s="9">
        <f>AB67-AK67</f>
        <v/>
      </c>
      <c r="AM67" s="9">
        <f>AM66+AL67</f>
        <v/>
      </c>
    </row>
    <row r="68">
      <c r="A68" t="n">
        <v>2</v>
      </c>
      <c r="B68" t="n">
        <v>1</v>
      </c>
      <c r="C68" s="4">
        <f>D67</f>
        <v/>
      </c>
      <c r="D68" s="4">
        <f>C68*(1+$C$9)</f>
        <v/>
      </c>
      <c r="E68">
        <f>IF(A68=1,$C$10,IF(A68=2,$C$11,$C$12))</f>
        <v/>
      </c>
      <c r="F68" s="6">
        <f>D68*E68*$C$13</f>
        <v/>
      </c>
      <c r="G68" s="6">
        <f>F68*$C$14</f>
        <v/>
      </c>
      <c r="H68" s="6">
        <f>F68+G68</f>
        <v/>
      </c>
      <c r="I68" s="6">
        <f>IF($C$15&gt;0,G68/$C$15,0)</f>
        <v/>
      </c>
      <c r="J68" s="6">
        <f>I68*$C$16</f>
        <v/>
      </c>
      <c r="K68">
        <f>IF(A68=1,$C$24,IF(A68=2,$C$25,$C$26))*$C$23</f>
        <v/>
      </c>
      <c r="L68" t="n">
        <v>0</v>
      </c>
      <c r="M68" s="4">
        <f>J68+K68+L68</f>
        <v/>
      </c>
      <c r="N68" s="4">
        <f>M68*$C$6</f>
        <v/>
      </c>
      <c r="O68" s="4">
        <f>IF(M68&gt;0,N68*J68/M68,0)</f>
        <v/>
      </c>
      <c r="P68">
        <f>IF(M68&gt;0,N68*K68/M68,0)</f>
        <v/>
      </c>
      <c r="Q68">
        <f>IF(M68&gt;0,N68*L68/M68,0)</f>
        <v/>
      </c>
      <c r="R68" s="4">
        <f>X68*$C$27</f>
        <v/>
      </c>
      <c r="S68" s="4">
        <f>O68*$C$7</f>
        <v/>
      </c>
      <c r="T68" s="4">
        <f>P68*$C$7</f>
        <v/>
      </c>
      <c r="U68">
        <f>Q68*$C$7</f>
        <v/>
      </c>
      <c r="V68" s="4">
        <f>R68+S68+T68+U68</f>
        <v/>
      </c>
      <c r="W68">
        <f>IF(A68=1,$C$17,IF(A68=2,$C$18,$C$19))</f>
        <v/>
      </c>
      <c r="X68" s="4">
        <f>Z67</f>
        <v/>
      </c>
      <c r="Y68" s="4">
        <f>X68*W68</f>
        <v/>
      </c>
      <c r="Z68" s="4">
        <f>X68-Y68+V68</f>
        <v/>
      </c>
      <c r="AA68" s="9">
        <f>$C$4</f>
        <v/>
      </c>
      <c r="AB68" s="9">
        <f>Z68*AA68</f>
        <v/>
      </c>
      <c r="AC68" s="9">
        <f>E68*$C$29</f>
        <v/>
      </c>
      <c r="AD68" s="9">
        <f>T68*$C$30</f>
        <v/>
      </c>
      <c r="AE68" s="9">
        <f>IF(A68=1,$C$31,IF(A68=2,$C$32,$C$33))</f>
        <v/>
      </c>
      <c r="AF68" s="9">
        <f>R68*$C$28</f>
        <v/>
      </c>
      <c r="AG68" s="9">
        <f>AC68+AD68+AE68+AF68</f>
        <v/>
      </c>
      <c r="AH68" s="9">
        <f>IF(AB68&gt;=$C$36,$C$35,0)</f>
        <v/>
      </c>
      <c r="AI68" s="9">
        <f>IF(AB68&gt;=$C$38,$C$37,0)</f>
        <v/>
      </c>
      <c r="AJ68" s="9">
        <f>$C$34</f>
        <v/>
      </c>
      <c r="AK68" s="9">
        <f>AG68+AH68+AI68+AJ68</f>
        <v/>
      </c>
      <c r="AL68" s="9">
        <f>AB68-AK68</f>
        <v/>
      </c>
      <c r="AM68" s="9">
        <f>AM67+AL68</f>
        <v/>
      </c>
    </row>
    <row r="69">
      <c r="A69" t="n">
        <v>2</v>
      </c>
      <c r="B69" t="n">
        <v>2</v>
      </c>
      <c r="C69" s="4">
        <f>D68</f>
        <v/>
      </c>
      <c r="D69" s="4">
        <f>C69*(1+$C$9)</f>
        <v/>
      </c>
      <c r="E69">
        <f>IF(A69=1,$C$10,IF(A69=2,$C$11,$C$12))</f>
        <v/>
      </c>
      <c r="F69" s="6">
        <f>D69*E69*$C$13</f>
        <v/>
      </c>
      <c r="G69" s="6">
        <f>F69*$C$14</f>
        <v/>
      </c>
      <c r="H69" s="6">
        <f>F69+G69</f>
        <v/>
      </c>
      <c r="I69" s="6">
        <f>IF($C$15&gt;0,G69/$C$15,0)</f>
        <v/>
      </c>
      <c r="J69" s="6">
        <f>I69*$C$16</f>
        <v/>
      </c>
      <c r="K69">
        <f>IF(A69=1,$C$24,IF(A69=2,$C$25,$C$26))*$C$23</f>
        <v/>
      </c>
      <c r="L69" t="n">
        <v>0</v>
      </c>
      <c r="M69" s="4">
        <f>J69+K69+L69</f>
        <v/>
      </c>
      <c r="N69" s="4">
        <f>M69*$C$6</f>
        <v/>
      </c>
      <c r="O69" s="4">
        <f>IF(M69&gt;0,N69*J69/M69,0)</f>
        <v/>
      </c>
      <c r="P69">
        <f>IF(M69&gt;0,N69*K69/M69,0)</f>
        <v/>
      </c>
      <c r="Q69">
        <f>IF(M69&gt;0,N69*L69/M69,0)</f>
        <v/>
      </c>
      <c r="R69" s="4">
        <f>X69*$C$27</f>
        <v/>
      </c>
      <c r="S69" s="4">
        <f>O69*$C$7</f>
        <v/>
      </c>
      <c r="T69" s="4">
        <f>P69*$C$7</f>
        <v/>
      </c>
      <c r="U69">
        <f>Q69*$C$7</f>
        <v/>
      </c>
      <c r="V69" s="4">
        <f>R69+S69+T69+U69</f>
        <v/>
      </c>
      <c r="W69">
        <f>IF(A69=1,$C$17,IF(A69=2,$C$18,$C$19))</f>
        <v/>
      </c>
      <c r="X69" s="4">
        <f>Z68</f>
        <v/>
      </c>
      <c r="Y69" s="4">
        <f>X69*W69</f>
        <v/>
      </c>
      <c r="Z69" s="4">
        <f>X69-Y69+V69</f>
        <v/>
      </c>
      <c r="AA69" s="9">
        <f>$C$4</f>
        <v/>
      </c>
      <c r="AB69" s="9">
        <f>Z69*AA69</f>
        <v/>
      </c>
      <c r="AC69" s="9">
        <f>E69*$C$29</f>
        <v/>
      </c>
      <c r="AD69" s="9">
        <f>T69*$C$30</f>
        <v/>
      </c>
      <c r="AE69" s="9">
        <f>IF(A69=1,$C$31,IF(A69=2,$C$32,$C$33))</f>
        <v/>
      </c>
      <c r="AF69" s="9">
        <f>R69*$C$28</f>
        <v/>
      </c>
      <c r="AG69" s="9">
        <f>AC69+AD69+AE69+AF69</f>
        <v/>
      </c>
      <c r="AH69" s="9">
        <f>IF(AB69&gt;=$C$36,$C$35,0)</f>
        <v/>
      </c>
      <c r="AI69" s="9">
        <f>IF(AB69&gt;=$C$38,$C$37,0)</f>
        <v/>
      </c>
      <c r="AJ69" s="9">
        <f>$C$34</f>
        <v/>
      </c>
      <c r="AK69" s="9">
        <f>AG69+AH69+AI69+AJ69</f>
        <v/>
      </c>
      <c r="AL69" s="9">
        <f>AB69-AK69</f>
        <v/>
      </c>
      <c r="AM69" s="9">
        <f>AM68+AL69</f>
        <v/>
      </c>
    </row>
    <row r="70">
      <c r="A70" t="n">
        <v>2</v>
      </c>
      <c r="B70" t="n">
        <v>3</v>
      </c>
      <c r="C70" s="4">
        <f>D69</f>
        <v/>
      </c>
      <c r="D70" s="4">
        <f>C70*(1+$C$9)</f>
        <v/>
      </c>
      <c r="E70">
        <f>IF(A70=1,$C$10,IF(A70=2,$C$11,$C$12))</f>
        <v/>
      </c>
      <c r="F70" s="6">
        <f>D70*E70*$C$13</f>
        <v/>
      </c>
      <c r="G70" s="6">
        <f>F70*$C$14</f>
        <v/>
      </c>
      <c r="H70" s="6">
        <f>F70+G70</f>
        <v/>
      </c>
      <c r="I70" s="6">
        <f>IF($C$15&gt;0,G70/$C$15,0)</f>
        <v/>
      </c>
      <c r="J70" s="6">
        <f>I70*$C$16</f>
        <v/>
      </c>
      <c r="K70">
        <f>IF(A70=1,$C$24,IF(A70=2,$C$25,$C$26))*$C$23</f>
        <v/>
      </c>
      <c r="L70" t="n">
        <v>0</v>
      </c>
      <c r="M70" s="4">
        <f>J70+K70+L70</f>
        <v/>
      </c>
      <c r="N70" s="4">
        <f>M70*$C$6</f>
        <v/>
      </c>
      <c r="O70" s="4">
        <f>IF(M70&gt;0,N70*J70/M70,0)</f>
        <v/>
      </c>
      <c r="P70">
        <f>IF(M70&gt;0,N70*K70/M70,0)</f>
        <v/>
      </c>
      <c r="Q70">
        <f>IF(M70&gt;0,N70*L70/M70,0)</f>
        <v/>
      </c>
      <c r="R70" s="4">
        <f>X70*$C$27</f>
        <v/>
      </c>
      <c r="S70" s="4">
        <f>O70*$C$7</f>
        <v/>
      </c>
      <c r="T70" s="4">
        <f>P70*$C$7</f>
        <v/>
      </c>
      <c r="U70">
        <f>Q70*$C$7</f>
        <v/>
      </c>
      <c r="V70" s="4">
        <f>R70+S70+T70+U70</f>
        <v/>
      </c>
      <c r="W70">
        <f>IF(A70=1,$C$17,IF(A70=2,$C$18,$C$19))</f>
        <v/>
      </c>
      <c r="X70" s="4">
        <f>Z69</f>
        <v/>
      </c>
      <c r="Y70" s="4">
        <f>X70*W70</f>
        <v/>
      </c>
      <c r="Z70" s="4">
        <f>X70-Y70+V70</f>
        <v/>
      </c>
      <c r="AA70" s="9">
        <f>$C$4</f>
        <v/>
      </c>
      <c r="AB70" s="9">
        <f>Z70*AA70</f>
        <v/>
      </c>
      <c r="AC70" s="9">
        <f>E70*$C$29</f>
        <v/>
      </c>
      <c r="AD70" s="9">
        <f>T70*$C$30</f>
        <v/>
      </c>
      <c r="AE70" s="9">
        <f>IF(A70=1,$C$31,IF(A70=2,$C$32,$C$33))</f>
        <v/>
      </c>
      <c r="AF70" s="9">
        <f>R70*$C$28</f>
        <v/>
      </c>
      <c r="AG70" s="9">
        <f>AC70+AD70+AE70+AF70</f>
        <v/>
      </c>
      <c r="AH70" s="9">
        <f>IF(AB70&gt;=$C$36,$C$35,0)</f>
        <v/>
      </c>
      <c r="AI70" s="9">
        <f>IF(AB70&gt;=$C$38,$C$37,0)</f>
        <v/>
      </c>
      <c r="AJ70" s="9">
        <f>$C$34</f>
        <v/>
      </c>
      <c r="AK70" s="9">
        <f>AG70+AH70+AI70+AJ70</f>
        <v/>
      </c>
      <c r="AL70" s="9">
        <f>AB70-AK70</f>
        <v/>
      </c>
      <c r="AM70" s="9">
        <f>AM69+AL70</f>
        <v/>
      </c>
    </row>
    <row r="71">
      <c r="A71" t="n">
        <v>2</v>
      </c>
      <c r="B71" t="n">
        <v>4</v>
      </c>
      <c r="C71" s="4">
        <f>D70</f>
        <v/>
      </c>
      <c r="D71" s="4">
        <f>C71*(1+$C$9)</f>
        <v/>
      </c>
      <c r="E71">
        <f>IF(A71=1,$C$10,IF(A71=2,$C$11,$C$12))</f>
        <v/>
      </c>
      <c r="F71" s="6">
        <f>D71*E71*$C$13</f>
        <v/>
      </c>
      <c r="G71" s="6">
        <f>F71*$C$14</f>
        <v/>
      </c>
      <c r="H71" s="6">
        <f>F71+G71</f>
        <v/>
      </c>
      <c r="I71" s="6">
        <f>IF($C$15&gt;0,G71/$C$15,0)</f>
        <v/>
      </c>
      <c r="J71" s="6">
        <f>I71*$C$16</f>
        <v/>
      </c>
      <c r="K71">
        <f>IF(A71=1,$C$24,IF(A71=2,$C$25,$C$26))*$C$23</f>
        <v/>
      </c>
      <c r="L71" t="n">
        <v>0</v>
      </c>
      <c r="M71" s="4">
        <f>J71+K71+L71</f>
        <v/>
      </c>
      <c r="N71" s="4">
        <f>M71*$C$6</f>
        <v/>
      </c>
      <c r="O71" s="4">
        <f>IF(M71&gt;0,N71*J71/M71,0)</f>
        <v/>
      </c>
      <c r="P71">
        <f>IF(M71&gt;0,N71*K71/M71,0)</f>
        <v/>
      </c>
      <c r="Q71">
        <f>IF(M71&gt;0,N71*L71/M71,0)</f>
        <v/>
      </c>
      <c r="R71" s="4">
        <f>X71*$C$27</f>
        <v/>
      </c>
      <c r="S71" s="4">
        <f>O71*$C$7</f>
        <v/>
      </c>
      <c r="T71" s="4">
        <f>P71*$C$7</f>
        <v/>
      </c>
      <c r="U71">
        <f>Q71*$C$7</f>
        <v/>
      </c>
      <c r="V71" s="4">
        <f>R71+S71+T71+U71</f>
        <v/>
      </c>
      <c r="W71">
        <f>IF(A71=1,$C$17,IF(A71=2,$C$18,$C$19))</f>
        <v/>
      </c>
      <c r="X71" s="4">
        <f>Z70</f>
        <v/>
      </c>
      <c r="Y71" s="4">
        <f>X71*W71</f>
        <v/>
      </c>
      <c r="Z71" s="4">
        <f>X71-Y71+V71</f>
        <v/>
      </c>
      <c r="AA71" s="9">
        <f>$C$4</f>
        <v/>
      </c>
      <c r="AB71" s="9">
        <f>Z71*AA71</f>
        <v/>
      </c>
      <c r="AC71" s="9">
        <f>E71*$C$29</f>
        <v/>
      </c>
      <c r="AD71" s="9">
        <f>T71*$C$30</f>
        <v/>
      </c>
      <c r="AE71" s="9">
        <f>IF(A71=1,$C$31,IF(A71=2,$C$32,$C$33))</f>
        <v/>
      </c>
      <c r="AF71" s="9">
        <f>R71*$C$28</f>
        <v/>
      </c>
      <c r="AG71" s="9">
        <f>AC71+AD71+AE71+AF71</f>
        <v/>
      </c>
      <c r="AH71" s="9">
        <f>IF(AB71&gt;=$C$36,$C$35,0)</f>
        <v/>
      </c>
      <c r="AI71" s="9">
        <f>IF(AB71&gt;=$C$38,$C$37,0)</f>
        <v/>
      </c>
      <c r="AJ71" s="9">
        <f>$C$34</f>
        <v/>
      </c>
      <c r="AK71" s="9">
        <f>AG71+AH71+AI71+AJ71</f>
        <v/>
      </c>
      <c r="AL71" s="9">
        <f>AB71-AK71</f>
        <v/>
      </c>
      <c r="AM71" s="9">
        <f>AM70+AL71</f>
        <v/>
      </c>
    </row>
    <row r="72">
      <c r="A72" t="n">
        <v>2</v>
      </c>
      <c r="B72" t="n">
        <v>5</v>
      </c>
      <c r="C72" s="4">
        <f>D71</f>
        <v/>
      </c>
      <c r="D72" s="4">
        <f>C72*(1+$C$9)</f>
        <v/>
      </c>
      <c r="E72">
        <f>IF(A72=1,$C$10,IF(A72=2,$C$11,$C$12))</f>
        <v/>
      </c>
      <c r="F72" s="6">
        <f>D72*E72*$C$13</f>
        <v/>
      </c>
      <c r="G72" s="6">
        <f>F72*$C$14</f>
        <v/>
      </c>
      <c r="H72" s="6">
        <f>F72+G72</f>
        <v/>
      </c>
      <c r="I72" s="6">
        <f>IF($C$15&gt;0,G72/$C$15,0)</f>
        <v/>
      </c>
      <c r="J72" s="6">
        <f>I72*$C$16</f>
        <v/>
      </c>
      <c r="K72">
        <f>IF(A72=1,$C$24,IF(A72=2,$C$25,$C$26))*$C$23</f>
        <v/>
      </c>
      <c r="L72" t="n">
        <v>0</v>
      </c>
      <c r="M72" s="4">
        <f>J72+K72+L72</f>
        <v/>
      </c>
      <c r="N72" s="4">
        <f>M72*$C$6</f>
        <v/>
      </c>
      <c r="O72" s="4">
        <f>IF(M72&gt;0,N72*J72/M72,0)</f>
        <v/>
      </c>
      <c r="P72">
        <f>IF(M72&gt;0,N72*K72/M72,0)</f>
        <v/>
      </c>
      <c r="Q72">
        <f>IF(M72&gt;0,N72*L72/M72,0)</f>
        <v/>
      </c>
      <c r="R72" s="4">
        <f>X72*$C$27</f>
        <v/>
      </c>
      <c r="S72" s="4">
        <f>O72*$C$7</f>
        <v/>
      </c>
      <c r="T72" s="4">
        <f>P72*$C$7</f>
        <v/>
      </c>
      <c r="U72">
        <f>Q72*$C$7</f>
        <v/>
      </c>
      <c r="V72" s="4">
        <f>R72+S72+T72+U72</f>
        <v/>
      </c>
      <c r="W72">
        <f>IF(A72=1,$C$17,IF(A72=2,$C$18,$C$19))</f>
        <v/>
      </c>
      <c r="X72" s="4">
        <f>Z71</f>
        <v/>
      </c>
      <c r="Y72" s="4">
        <f>X72*W72</f>
        <v/>
      </c>
      <c r="Z72" s="4">
        <f>X72-Y72+V72</f>
        <v/>
      </c>
      <c r="AA72" s="9">
        <f>$C$4</f>
        <v/>
      </c>
      <c r="AB72" s="9">
        <f>Z72*AA72</f>
        <v/>
      </c>
      <c r="AC72" s="9">
        <f>E72*$C$29</f>
        <v/>
      </c>
      <c r="AD72" s="9">
        <f>T72*$C$30</f>
        <v/>
      </c>
      <c r="AE72" s="9">
        <f>IF(A72=1,$C$31,IF(A72=2,$C$32,$C$33))</f>
        <v/>
      </c>
      <c r="AF72" s="9">
        <f>R72*$C$28</f>
        <v/>
      </c>
      <c r="AG72" s="9">
        <f>AC72+AD72+AE72+AF72</f>
        <v/>
      </c>
      <c r="AH72" s="9">
        <f>IF(AB72&gt;=$C$36,$C$35,0)</f>
        <v/>
      </c>
      <c r="AI72" s="9">
        <f>IF(AB72&gt;=$C$38,$C$37,0)</f>
        <v/>
      </c>
      <c r="AJ72" s="9">
        <f>$C$34</f>
        <v/>
      </c>
      <c r="AK72" s="9">
        <f>AG72+AH72+AI72+AJ72</f>
        <v/>
      </c>
      <c r="AL72" s="9">
        <f>AB72-AK72</f>
        <v/>
      </c>
      <c r="AM72" s="9">
        <f>AM71+AL72</f>
        <v/>
      </c>
    </row>
    <row r="73">
      <c r="A73" t="n">
        <v>2</v>
      </c>
      <c r="B73" t="n">
        <v>6</v>
      </c>
      <c r="C73" s="4">
        <f>D72</f>
        <v/>
      </c>
      <c r="D73" s="4">
        <f>C73*(1+$C$9)</f>
        <v/>
      </c>
      <c r="E73">
        <f>IF(A73=1,$C$10,IF(A73=2,$C$11,$C$12))</f>
        <v/>
      </c>
      <c r="F73" s="6">
        <f>D73*E73*$C$13</f>
        <v/>
      </c>
      <c r="G73" s="6">
        <f>F73*$C$14</f>
        <v/>
      </c>
      <c r="H73" s="6">
        <f>F73+G73</f>
        <v/>
      </c>
      <c r="I73" s="6">
        <f>IF($C$15&gt;0,G73/$C$15,0)</f>
        <v/>
      </c>
      <c r="J73" s="6">
        <f>I73*$C$16</f>
        <v/>
      </c>
      <c r="K73">
        <f>IF(A73=1,$C$24,IF(A73=2,$C$25,$C$26))*$C$23</f>
        <v/>
      </c>
      <c r="L73" t="n">
        <v>0</v>
      </c>
      <c r="M73" s="4">
        <f>J73+K73+L73</f>
        <v/>
      </c>
      <c r="N73" s="4">
        <f>M73*$C$6</f>
        <v/>
      </c>
      <c r="O73" s="4">
        <f>IF(M73&gt;0,N73*J73/M73,0)</f>
        <v/>
      </c>
      <c r="P73">
        <f>IF(M73&gt;0,N73*K73/M73,0)</f>
        <v/>
      </c>
      <c r="Q73">
        <f>IF(M73&gt;0,N73*L73/M73,0)</f>
        <v/>
      </c>
      <c r="R73" s="4">
        <f>X73*$C$27</f>
        <v/>
      </c>
      <c r="S73" s="4">
        <f>O73*$C$7</f>
        <v/>
      </c>
      <c r="T73" s="4">
        <f>P73*$C$7</f>
        <v/>
      </c>
      <c r="U73">
        <f>Q73*$C$7</f>
        <v/>
      </c>
      <c r="V73" s="4">
        <f>R73+S73+T73+U73</f>
        <v/>
      </c>
      <c r="W73">
        <f>IF(A73=1,$C$17,IF(A73=2,$C$18,$C$19))</f>
        <v/>
      </c>
      <c r="X73" s="4">
        <f>Z72</f>
        <v/>
      </c>
      <c r="Y73" s="4">
        <f>X73*W73</f>
        <v/>
      </c>
      <c r="Z73" s="4">
        <f>X73-Y73+V73</f>
        <v/>
      </c>
      <c r="AA73" s="9">
        <f>$C$4</f>
        <v/>
      </c>
      <c r="AB73" s="9">
        <f>Z73*AA73</f>
        <v/>
      </c>
      <c r="AC73" s="9">
        <f>E73*$C$29</f>
        <v/>
      </c>
      <c r="AD73" s="9">
        <f>T73*$C$30</f>
        <v/>
      </c>
      <c r="AE73" s="9">
        <f>IF(A73=1,$C$31,IF(A73=2,$C$32,$C$33))</f>
        <v/>
      </c>
      <c r="AF73" s="9">
        <f>R73*$C$28</f>
        <v/>
      </c>
      <c r="AG73" s="9">
        <f>AC73+AD73+AE73+AF73</f>
        <v/>
      </c>
      <c r="AH73" s="9">
        <f>IF(AB73&gt;=$C$36,$C$35,0)</f>
        <v/>
      </c>
      <c r="AI73" s="9">
        <f>IF(AB73&gt;=$C$38,$C$37,0)</f>
        <v/>
      </c>
      <c r="AJ73" s="9">
        <f>$C$34</f>
        <v/>
      </c>
      <c r="AK73" s="9">
        <f>AG73+AH73+AI73+AJ73</f>
        <v/>
      </c>
      <c r="AL73" s="9">
        <f>AB73-AK73</f>
        <v/>
      </c>
      <c r="AM73" s="9">
        <f>AM72+AL73</f>
        <v/>
      </c>
    </row>
    <row r="74">
      <c r="A74" t="n">
        <v>2</v>
      </c>
      <c r="B74" t="n">
        <v>7</v>
      </c>
      <c r="C74" s="4">
        <f>D73</f>
        <v/>
      </c>
      <c r="D74" s="4">
        <f>C74*(1+$C$9)</f>
        <v/>
      </c>
      <c r="E74">
        <f>IF(A74=1,$C$10,IF(A74=2,$C$11,$C$12))</f>
        <v/>
      </c>
      <c r="F74" s="6">
        <f>D74*E74*$C$13</f>
        <v/>
      </c>
      <c r="G74" s="6">
        <f>F74*$C$14</f>
        <v/>
      </c>
      <c r="H74" s="6">
        <f>F74+G74</f>
        <v/>
      </c>
      <c r="I74" s="6">
        <f>IF($C$15&gt;0,G74/$C$15,0)</f>
        <v/>
      </c>
      <c r="J74" s="6">
        <f>I74*$C$16</f>
        <v/>
      </c>
      <c r="K74">
        <f>IF(A74=1,$C$24,IF(A74=2,$C$25,$C$26))*$C$23</f>
        <v/>
      </c>
      <c r="L74" t="n">
        <v>0</v>
      </c>
      <c r="M74" s="4">
        <f>J74+K74+L74</f>
        <v/>
      </c>
      <c r="N74" s="4">
        <f>M74*$C$6</f>
        <v/>
      </c>
      <c r="O74" s="4">
        <f>IF(M74&gt;0,N74*J74/M74,0)</f>
        <v/>
      </c>
      <c r="P74">
        <f>IF(M74&gt;0,N74*K74/M74,0)</f>
        <v/>
      </c>
      <c r="Q74">
        <f>IF(M74&gt;0,N74*L74/M74,0)</f>
        <v/>
      </c>
      <c r="R74" s="4">
        <f>X74*$C$27</f>
        <v/>
      </c>
      <c r="S74" s="4">
        <f>O74*$C$7</f>
        <v/>
      </c>
      <c r="T74" s="4">
        <f>P74*$C$7</f>
        <v/>
      </c>
      <c r="U74">
        <f>Q74*$C$7</f>
        <v/>
      </c>
      <c r="V74" s="4">
        <f>R74+S74+T74+U74</f>
        <v/>
      </c>
      <c r="W74">
        <f>IF(A74=1,$C$17,IF(A74=2,$C$18,$C$19))</f>
        <v/>
      </c>
      <c r="X74" s="4">
        <f>Z73</f>
        <v/>
      </c>
      <c r="Y74" s="4">
        <f>X74*W74</f>
        <v/>
      </c>
      <c r="Z74" s="4">
        <f>X74-Y74+V74</f>
        <v/>
      </c>
      <c r="AA74" s="9">
        <f>$C$4</f>
        <v/>
      </c>
      <c r="AB74" s="9">
        <f>Z74*AA74</f>
        <v/>
      </c>
      <c r="AC74" s="9">
        <f>E74*$C$29</f>
        <v/>
      </c>
      <c r="AD74" s="9">
        <f>T74*$C$30</f>
        <v/>
      </c>
      <c r="AE74" s="9">
        <f>IF(A74=1,$C$31,IF(A74=2,$C$32,$C$33))</f>
        <v/>
      </c>
      <c r="AF74" s="9">
        <f>R74*$C$28</f>
        <v/>
      </c>
      <c r="AG74" s="9">
        <f>AC74+AD74+AE74+AF74</f>
        <v/>
      </c>
      <c r="AH74" s="9">
        <f>IF(AB74&gt;=$C$36,$C$35,0)</f>
        <v/>
      </c>
      <c r="AI74" s="9">
        <f>IF(AB74&gt;=$C$38,$C$37,0)</f>
        <v/>
      </c>
      <c r="AJ74" s="9">
        <f>$C$34</f>
        <v/>
      </c>
      <c r="AK74" s="9">
        <f>AG74+AH74+AI74+AJ74</f>
        <v/>
      </c>
      <c r="AL74" s="9">
        <f>AB74-AK74</f>
        <v/>
      </c>
      <c r="AM74" s="9">
        <f>AM73+AL74</f>
        <v/>
      </c>
    </row>
    <row r="75">
      <c r="A75" t="n">
        <v>2</v>
      </c>
      <c r="B75" t="n">
        <v>8</v>
      </c>
      <c r="C75" s="4">
        <f>D74</f>
        <v/>
      </c>
      <c r="D75" s="4">
        <f>C75*(1+$C$9)</f>
        <v/>
      </c>
      <c r="E75">
        <f>IF(A75=1,$C$10,IF(A75=2,$C$11,$C$12))</f>
        <v/>
      </c>
      <c r="F75" s="6">
        <f>D75*E75*$C$13</f>
        <v/>
      </c>
      <c r="G75" s="6">
        <f>F75*$C$14</f>
        <v/>
      </c>
      <c r="H75" s="6">
        <f>F75+G75</f>
        <v/>
      </c>
      <c r="I75" s="6">
        <f>IF($C$15&gt;0,G75/$C$15,0)</f>
        <v/>
      </c>
      <c r="J75" s="6">
        <f>I75*$C$16</f>
        <v/>
      </c>
      <c r="K75">
        <f>IF(A75=1,$C$24,IF(A75=2,$C$25,$C$26))*$C$23</f>
        <v/>
      </c>
      <c r="L75" t="n">
        <v>0</v>
      </c>
      <c r="M75" s="4">
        <f>J75+K75+L75</f>
        <v/>
      </c>
      <c r="N75" s="4">
        <f>M75*$C$6</f>
        <v/>
      </c>
      <c r="O75" s="4">
        <f>IF(M75&gt;0,N75*J75/M75,0)</f>
        <v/>
      </c>
      <c r="P75">
        <f>IF(M75&gt;0,N75*K75/M75,0)</f>
        <v/>
      </c>
      <c r="Q75">
        <f>IF(M75&gt;0,N75*L75/M75,0)</f>
        <v/>
      </c>
      <c r="R75" s="4">
        <f>X75*$C$27</f>
        <v/>
      </c>
      <c r="S75" s="4">
        <f>O75*$C$7</f>
        <v/>
      </c>
      <c r="T75" s="4">
        <f>P75*$C$7</f>
        <v/>
      </c>
      <c r="U75">
        <f>Q75*$C$7</f>
        <v/>
      </c>
      <c r="V75" s="4">
        <f>R75+S75+T75+U75</f>
        <v/>
      </c>
      <c r="W75">
        <f>IF(A75=1,$C$17,IF(A75=2,$C$18,$C$19))</f>
        <v/>
      </c>
      <c r="X75" s="4">
        <f>Z74</f>
        <v/>
      </c>
      <c r="Y75" s="4">
        <f>X75*W75</f>
        <v/>
      </c>
      <c r="Z75" s="4">
        <f>X75-Y75+V75</f>
        <v/>
      </c>
      <c r="AA75" s="9">
        <f>$C$4</f>
        <v/>
      </c>
      <c r="AB75" s="9">
        <f>Z75*AA75</f>
        <v/>
      </c>
      <c r="AC75" s="9">
        <f>E75*$C$29</f>
        <v/>
      </c>
      <c r="AD75" s="9">
        <f>T75*$C$30</f>
        <v/>
      </c>
      <c r="AE75" s="9">
        <f>IF(A75=1,$C$31,IF(A75=2,$C$32,$C$33))</f>
        <v/>
      </c>
      <c r="AF75" s="9">
        <f>R75*$C$28</f>
        <v/>
      </c>
      <c r="AG75" s="9">
        <f>AC75+AD75+AE75+AF75</f>
        <v/>
      </c>
      <c r="AH75" s="9">
        <f>IF(AB75&gt;=$C$36,$C$35,0)</f>
        <v/>
      </c>
      <c r="AI75" s="9">
        <f>IF(AB75&gt;=$C$38,$C$37,0)</f>
        <v/>
      </c>
      <c r="AJ75" s="9">
        <f>$C$34</f>
        <v/>
      </c>
      <c r="AK75" s="9">
        <f>AG75+AH75+AI75+AJ75</f>
        <v/>
      </c>
      <c r="AL75" s="9">
        <f>AB75-AK75</f>
        <v/>
      </c>
      <c r="AM75" s="9">
        <f>AM74+AL75</f>
        <v/>
      </c>
    </row>
    <row r="76">
      <c r="A76" t="n">
        <v>2</v>
      </c>
      <c r="B76" t="n">
        <v>9</v>
      </c>
      <c r="C76" s="4">
        <f>D75</f>
        <v/>
      </c>
      <c r="D76" s="4">
        <f>C76*(1+$C$9)</f>
        <v/>
      </c>
      <c r="E76">
        <f>IF(A76=1,$C$10,IF(A76=2,$C$11,$C$12))</f>
        <v/>
      </c>
      <c r="F76" s="6">
        <f>D76*E76*$C$13</f>
        <v/>
      </c>
      <c r="G76" s="6">
        <f>F76*$C$14</f>
        <v/>
      </c>
      <c r="H76" s="6">
        <f>F76+G76</f>
        <v/>
      </c>
      <c r="I76" s="6">
        <f>IF($C$15&gt;0,G76/$C$15,0)</f>
        <v/>
      </c>
      <c r="J76" s="6">
        <f>I76*$C$16</f>
        <v/>
      </c>
      <c r="K76">
        <f>IF(A76=1,$C$24,IF(A76=2,$C$25,$C$26))*$C$23</f>
        <v/>
      </c>
      <c r="L76" t="n">
        <v>0</v>
      </c>
      <c r="M76" s="4">
        <f>J76+K76+L76</f>
        <v/>
      </c>
      <c r="N76" s="4">
        <f>M76*$C$6</f>
        <v/>
      </c>
      <c r="O76" s="4">
        <f>IF(M76&gt;0,N76*J76/M76,0)</f>
        <v/>
      </c>
      <c r="P76">
        <f>IF(M76&gt;0,N76*K76/M76,0)</f>
        <v/>
      </c>
      <c r="Q76">
        <f>IF(M76&gt;0,N76*L76/M76,0)</f>
        <v/>
      </c>
      <c r="R76" s="4">
        <f>X76*$C$27</f>
        <v/>
      </c>
      <c r="S76" s="4">
        <f>O76*$C$7</f>
        <v/>
      </c>
      <c r="T76" s="4">
        <f>P76*$C$7</f>
        <v/>
      </c>
      <c r="U76">
        <f>Q76*$C$7</f>
        <v/>
      </c>
      <c r="V76" s="4">
        <f>R76+S76+T76+U76</f>
        <v/>
      </c>
      <c r="W76">
        <f>IF(A76=1,$C$17,IF(A76=2,$C$18,$C$19))</f>
        <v/>
      </c>
      <c r="X76" s="4">
        <f>Z75</f>
        <v/>
      </c>
      <c r="Y76" s="4">
        <f>X76*W76</f>
        <v/>
      </c>
      <c r="Z76" s="4">
        <f>X76-Y76+V76</f>
        <v/>
      </c>
      <c r="AA76" s="9">
        <f>$C$4</f>
        <v/>
      </c>
      <c r="AB76" s="9">
        <f>Z76*AA76</f>
        <v/>
      </c>
      <c r="AC76" s="9">
        <f>E76*$C$29</f>
        <v/>
      </c>
      <c r="AD76" s="9">
        <f>T76*$C$30</f>
        <v/>
      </c>
      <c r="AE76" s="9">
        <f>IF(A76=1,$C$31,IF(A76=2,$C$32,$C$33))</f>
        <v/>
      </c>
      <c r="AF76" s="9">
        <f>R76*$C$28</f>
        <v/>
      </c>
      <c r="AG76" s="9">
        <f>AC76+AD76+AE76+AF76</f>
        <v/>
      </c>
      <c r="AH76" s="9">
        <f>IF(AB76&gt;=$C$36,$C$35,0)</f>
        <v/>
      </c>
      <c r="AI76" s="9">
        <f>IF(AB76&gt;=$C$38,$C$37,0)</f>
        <v/>
      </c>
      <c r="AJ76" s="9">
        <f>$C$34</f>
        <v/>
      </c>
      <c r="AK76" s="9">
        <f>AG76+AH76+AI76+AJ76</f>
        <v/>
      </c>
      <c r="AL76" s="9">
        <f>AB76-AK76</f>
        <v/>
      </c>
      <c r="AM76" s="9">
        <f>AM75+AL76</f>
        <v/>
      </c>
    </row>
    <row r="77">
      <c r="A77" t="n">
        <v>2</v>
      </c>
      <c r="B77" t="n">
        <v>10</v>
      </c>
      <c r="C77" s="4">
        <f>D76</f>
        <v/>
      </c>
      <c r="D77" s="4">
        <f>C77*(1+$C$9)</f>
        <v/>
      </c>
      <c r="E77">
        <f>IF(A77=1,$C$10,IF(A77=2,$C$11,$C$12))</f>
        <v/>
      </c>
      <c r="F77" s="6">
        <f>D77*E77*$C$13</f>
        <v/>
      </c>
      <c r="G77" s="6">
        <f>F77*$C$14</f>
        <v/>
      </c>
      <c r="H77" s="6">
        <f>F77+G77</f>
        <v/>
      </c>
      <c r="I77" s="6">
        <f>IF($C$15&gt;0,G77/$C$15,0)</f>
        <v/>
      </c>
      <c r="J77" s="6">
        <f>I77*$C$16</f>
        <v/>
      </c>
      <c r="K77">
        <f>IF(A77=1,$C$24,IF(A77=2,$C$25,$C$26))*$C$23</f>
        <v/>
      </c>
      <c r="L77" t="n">
        <v>0</v>
      </c>
      <c r="M77" s="4">
        <f>J77+K77+L77</f>
        <v/>
      </c>
      <c r="N77" s="4">
        <f>M77*$C$6</f>
        <v/>
      </c>
      <c r="O77" s="4">
        <f>IF(M77&gt;0,N77*J77/M77,0)</f>
        <v/>
      </c>
      <c r="P77">
        <f>IF(M77&gt;0,N77*K77/M77,0)</f>
        <v/>
      </c>
      <c r="Q77">
        <f>IF(M77&gt;0,N77*L77/M77,0)</f>
        <v/>
      </c>
      <c r="R77" s="4">
        <f>X77*$C$27</f>
        <v/>
      </c>
      <c r="S77" s="4">
        <f>O77*$C$7</f>
        <v/>
      </c>
      <c r="T77" s="4">
        <f>P77*$C$7</f>
        <v/>
      </c>
      <c r="U77">
        <f>Q77*$C$7</f>
        <v/>
      </c>
      <c r="V77" s="4">
        <f>R77+S77+T77+U77</f>
        <v/>
      </c>
      <c r="W77">
        <f>IF(A77=1,$C$17,IF(A77=2,$C$18,$C$19))</f>
        <v/>
      </c>
      <c r="X77" s="4">
        <f>Z76</f>
        <v/>
      </c>
      <c r="Y77" s="4">
        <f>X77*W77</f>
        <v/>
      </c>
      <c r="Z77" s="4">
        <f>X77-Y77+V77</f>
        <v/>
      </c>
      <c r="AA77" s="9">
        <f>$C$4</f>
        <v/>
      </c>
      <c r="AB77" s="9">
        <f>Z77*AA77</f>
        <v/>
      </c>
      <c r="AC77" s="9">
        <f>E77*$C$29</f>
        <v/>
      </c>
      <c r="AD77" s="9">
        <f>T77*$C$30</f>
        <v/>
      </c>
      <c r="AE77" s="9">
        <f>IF(A77=1,$C$31,IF(A77=2,$C$32,$C$33))</f>
        <v/>
      </c>
      <c r="AF77" s="9">
        <f>R77*$C$28</f>
        <v/>
      </c>
      <c r="AG77" s="9">
        <f>AC77+AD77+AE77+AF77</f>
        <v/>
      </c>
      <c r="AH77" s="9">
        <f>IF(AB77&gt;=$C$36,$C$35,0)</f>
        <v/>
      </c>
      <c r="AI77" s="9">
        <f>IF(AB77&gt;=$C$38,$C$37,0)</f>
        <v/>
      </c>
      <c r="AJ77" s="9">
        <f>$C$34</f>
        <v/>
      </c>
      <c r="AK77" s="9">
        <f>AG77+AH77+AI77+AJ77</f>
        <v/>
      </c>
      <c r="AL77" s="9">
        <f>AB77-AK77</f>
        <v/>
      </c>
      <c r="AM77" s="9">
        <f>AM76+AL77</f>
        <v/>
      </c>
    </row>
    <row r="78">
      <c r="A78" t="n">
        <v>2</v>
      </c>
      <c r="B78" t="n">
        <v>11</v>
      </c>
      <c r="C78" s="4">
        <f>D77</f>
        <v/>
      </c>
      <c r="D78" s="4">
        <f>C78*(1+$C$9)</f>
        <v/>
      </c>
      <c r="E78">
        <f>IF(A78=1,$C$10,IF(A78=2,$C$11,$C$12))</f>
        <v/>
      </c>
      <c r="F78" s="6">
        <f>D78*E78*$C$13</f>
        <v/>
      </c>
      <c r="G78" s="6">
        <f>F78*$C$14</f>
        <v/>
      </c>
      <c r="H78" s="6">
        <f>F78+G78</f>
        <v/>
      </c>
      <c r="I78" s="6">
        <f>IF($C$15&gt;0,G78/$C$15,0)</f>
        <v/>
      </c>
      <c r="J78" s="6">
        <f>I78*$C$16</f>
        <v/>
      </c>
      <c r="K78">
        <f>IF(A78=1,$C$24,IF(A78=2,$C$25,$C$26))*$C$23</f>
        <v/>
      </c>
      <c r="L78" t="n">
        <v>0</v>
      </c>
      <c r="M78" s="4">
        <f>J78+K78+L78</f>
        <v/>
      </c>
      <c r="N78" s="4">
        <f>M78*$C$6</f>
        <v/>
      </c>
      <c r="O78" s="4">
        <f>IF(M78&gt;0,N78*J78/M78,0)</f>
        <v/>
      </c>
      <c r="P78">
        <f>IF(M78&gt;0,N78*K78/M78,0)</f>
        <v/>
      </c>
      <c r="Q78">
        <f>IF(M78&gt;0,N78*L78/M78,0)</f>
        <v/>
      </c>
      <c r="R78" s="4">
        <f>X78*$C$27</f>
        <v/>
      </c>
      <c r="S78" s="4">
        <f>O78*$C$7</f>
        <v/>
      </c>
      <c r="T78" s="4">
        <f>P78*$C$7</f>
        <v/>
      </c>
      <c r="U78">
        <f>Q78*$C$7</f>
        <v/>
      </c>
      <c r="V78" s="4">
        <f>R78+S78+T78+U78</f>
        <v/>
      </c>
      <c r="W78">
        <f>IF(A78=1,$C$17,IF(A78=2,$C$18,$C$19))</f>
        <v/>
      </c>
      <c r="X78" s="4">
        <f>Z77</f>
        <v/>
      </c>
      <c r="Y78" s="4">
        <f>X78*W78</f>
        <v/>
      </c>
      <c r="Z78" s="4">
        <f>X78-Y78+V78</f>
        <v/>
      </c>
      <c r="AA78" s="9">
        <f>$C$4</f>
        <v/>
      </c>
      <c r="AB78" s="9">
        <f>Z78*AA78</f>
        <v/>
      </c>
      <c r="AC78" s="9">
        <f>E78*$C$29</f>
        <v/>
      </c>
      <c r="AD78" s="9">
        <f>T78*$C$30</f>
        <v/>
      </c>
      <c r="AE78" s="9">
        <f>IF(A78=1,$C$31,IF(A78=2,$C$32,$C$33))</f>
        <v/>
      </c>
      <c r="AF78" s="9">
        <f>R78*$C$28</f>
        <v/>
      </c>
      <c r="AG78" s="9">
        <f>AC78+AD78+AE78+AF78</f>
        <v/>
      </c>
      <c r="AH78" s="9">
        <f>IF(AB78&gt;=$C$36,$C$35,0)</f>
        <v/>
      </c>
      <c r="AI78" s="9">
        <f>IF(AB78&gt;=$C$38,$C$37,0)</f>
        <v/>
      </c>
      <c r="AJ78" s="9">
        <f>$C$34</f>
        <v/>
      </c>
      <c r="AK78" s="9">
        <f>AG78+AH78+AI78+AJ78</f>
        <v/>
      </c>
      <c r="AL78" s="9">
        <f>AB78-AK78</f>
        <v/>
      </c>
      <c r="AM78" s="9">
        <f>AM77+AL78</f>
        <v/>
      </c>
    </row>
    <row r="79">
      <c r="A79" t="n">
        <v>2</v>
      </c>
      <c r="B79" t="n">
        <v>12</v>
      </c>
      <c r="C79" s="4">
        <f>D78</f>
        <v/>
      </c>
      <c r="D79" s="4">
        <f>C79*(1+$C$9)</f>
        <v/>
      </c>
      <c r="E79">
        <f>IF(A79=1,$C$10,IF(A79=2,$C$11,$C$12))</f>
        <v/>
      </c>
      <c r="F79" s="6">
        <f>D79*E79*$C$13</f>
        <v/>
      </c>
      <c r="G79" s="6">
        <f>F79*$C$14</f>
        <v/>
      </c>
      <c r="H79" s="6">
        <f>F79+G79</f>
        <v/>
      </c>
      <c r="I79" s="6">
        <f>IF($C$15&gt;0,G79/$C$15,0)</f>
        <v/>
      </c>
      <c r="J79" s="6">
        <f>I79*$C$16</f>
        <v/>
      </c>
      <c r="K79">
        <f>IF(A79=1,$C$24,IF(A79=2,$C$25,$C$26))*$C$23</f>
        <v/>
      </c>
      <c r="L79" t="n">
        <v>0</v>
      </c>
      <c r="M79" s="4">
        <f>J79+K79+L79</f>
        <v/>
      </c>
      <c r="N79" s="4">
        <f>M79*$C$6</f>
        <v/>
      </c>
      <c r="O79" s="4">
        <f>IF(M79&gt;0,N79*J79/M79,0)</f>
        <v/>
      </c>
      <c r="P79">
        <f>IF(M79&gt;0,N79*K79/M79,0)</f>
        <v/>
      </c>
      <c r="Q79">
        <f>IF(M79&gt;0,N79*L79/M79,0)</f>
        <v/>
      </c>
      <c r="R79" s="4">
        <f>X79*$C$27</f>
        <v/>
      </c>
      <c r="S79" s="4">
        <f>O79*$C$7</f>
        <v/>
      </c>
      <c r="T79" s="4">
        <f>P79*$C$7</f>
        <v/>
      </c>
      <c r="U79">
        <f>Q79*$C$7</f>
        <v/>
      </c>
      <c r="V79" s="4">
        <f>R79+S79+T79+U79</f>
        <v/>
      </c>
      <c r="W79">
        <f>IF(A79=1,$C$17,IF(A79=2,$C$18,$C$19))</f>
        <v/>
      </c>
      <c r="X79" s="4">
        <f>Z78</f>
        <v/>
      </c>
      <c r="Y79" s="4">
        <f>X79*W79</f>
        <v/>
      </c>
      <c r="Z79" s="4">
        <f>X79-Y79+V79</f>
        <v/>
      </c>
      <c r="AA79" s="9">
        <f>$C$4</f>
        <v/>
      </c>
      <c r="AB79" s="9">
        <f>Z79*AA79</f>
        <v/>
      </c>
      <c r="AC79" s="9">
        <f>E79*$C$29</f>
        <v/>
      </c>
      <c r="AD79" s="9">
        <f>T79*$C$30</f>
        <v/>
      </c>
      <c r="AE79" s="9">
        <f>IF(A79=1,$C$31,IF(A79=2,$C$32,$C$33))</f>
        <v/>
      </c>
      <c r="AF79" s="9">
        <f>R79*$C$28</f>
        <v/>
      </c>
      <c r="AG79" s="9">
        <f>AC79+AD79+AE79+AF79</f>
        <v/>
      </c>
      <c r="AH79" s="9">
        <f>IF(AB79&gt;=$C$36,$C$35,0)</f>
        <v/>
      </c>
      <c r="AI79" s="9">
        <f>IF(AB79&gt;=$C$38,$C$37,0)</f>
        <v/>
      </c>
      <c r="AJ79" s="9">
        <f>$C$34</f>
        <v/>
      </c>
      <c r="AK79" s="9">
        <f>AG79+AH79+AI79+AJ79</f>
        <v/>
      </c>
      <c r="AL79" s="9">
        <f>AB79-AK79</f>
        <v/>
      </c>
      <c r="AM79" s="9">
        <f>AM78+AL79</f>
        <v/>
      </c>
    </row>
    <row r="80">
      <c r="A80" t="n">
        <v>3</v>
      </c>
      <c r="B80" t="n">
        <v>1</v>
      </c>
      <c r="C80" s="4">
        <f>D79</f>
        <v/>
      </c>
      <c r="D80" s="4">
        <f>C80*(1+$C$9)</f>
        <v/>
      </c>
      <c r="E80">
        <f>IF(A80=1,$C$10,IF(A80=2,$C$11,$C$12))</f>
        <v/>
      </c>
      <c r="F80" s="6">
        <f>D80*E80*$C$13</f>
        <v/>
      </c>
      <c r="G80" s="6">
        <f>F80*$C$14</f>
        <v/>
      </c>
      <c r="H80" s="6">
        <f>F80+G80</f>
        <v/>
      </c>
      <c r="I80" s="6">
        <f>IF($C$15&gt;0,G80/$C$15,0)</f>
        <v/>
      </c>
      <c r="J80" s="6">
        <f>I80*$C$16</f>
        <v/>
      </c>
      <c r="K80">
        <f>IF(A80=1,$C$24,IF(A80=2,$C$25,$C$26))*$C$23</f>
        <v/>
      </c>
      <c r="L80" t="n">
        <v>0</v>
      </c>
      <c r="M80" s="4">
        <f>J80+K80+L80</f>
        <v/>
      </c>
      <c r="N80" s="4">
        <f>M80*$C$6</f>
        <v/>
      </c>
      <c r="O80" s="4">
        <f>IF(M80&gt;0,N80*J80/M80,0)</f>
        <v/>
      </c>
      <c r="P80">
        <f>IF(M80&gt;0,N80*K80/M80,0)</f>
        <v/>
      </c>
      <c r="Q80">
        <f>IF(M80&gt;0,N80*L80/M80,0)</f>
        <v/>
      </c>
      <c r="R80" s="4">
        <f>X80*$C$27</f>
        <v/>
      </c>
      <c r="S80" s="4">
        <f>O80*$C$7</f>
        <v/>
      </c>
      <c r="T80" s="4">
        <f>P80*$C$7</f>
        <v/>
      </c>
      <c r="U80">
        <f>Q80*$C$7</f>
        <v/>
      </c>
      <c r="V80" s="4">
        <f>R80+S80+T80+U80</f>
        <v/>
      </c>
      <c r="W80">
        <f>IF(A80=1,$C$17,IF(A80=2,$C$18,$C$19))</f>
        <v/>
      </c>
      <c r="X80" s="4">
        <f>Z79</f>
        <v/>
      </c>
      <c r="Y80" s="4">
        <f>X80*W80</f>
        <v/>
      </c>
      <c r="Z80" s="4">
        <f>X80-Y80+V80</f>
        <v/>
      </c>
      <c r="AA80" s="9">
        <f>$C$4</f>
        <v/>
      </c>
      <c r="AB80" s="9">
        <f>Z80*AA80</f>
        <v/>
      </c>
      <c r="AC80" s="9">
        <f>E80*$C$29</f>
        <v/>
      </c>
      <c r="AD80" s="9">
        <f>T80*$C$30</f>
        <v/>
      </c>
      <c r="AE80" s="9">
        <f>IF(A80=1,$C$31,IF(A80=2,$C$32,$C$33))</f>
        <v/>
      </c>
      <c r="AF80" s="9">
        <f>R80*$C$28</f>
        <v/>
      </c>
      <c r="AG80" s="9">
        <f>AC80+AD80+AE80+AF80</f>
        <v/>
      </c>
      <c r="AH80" s="9">
        <f>IF(AB80&gt;=$C$36,$C$35,0)</f>
        <v/>
      </c>
      <c r="AI80" s="9">
        <f>IF(AB80&gt;=$C$38,$C$37,0)</f>
        <v/>
      </c>
      <c r="AJ80" s="9">
        <f>$C$34</f>
        <v/>
      </c>
      <c r="AK80" s="9">
        <f>AG80+AH80+AI80+AJ80</f>
        <v/>
      </c>
      <c r="AL80" s="9">
        <f>AB80-AK80</f>
        <v/>
      </c>
      <c r="AM80" s="9">
        <f>AM79+AL80</f>
        <v/>
      </c>
    </row>
    <row r="81">
      <c r="A81" t="n">
        <v>3</v>
      </c>
      <c r="B81" t="n">
        <v>2</v>
      </c>
      <c r="C81" s="4">
        <f>D80</f>
        <v/>
      </c>
      <c r="D81" s="4">
        <f>C81*(1+$C$9)</f>
        <v/>
      </c>
      <c r="E81">
        <f>IF(A81=1,$C$10,IF(A81=2,$C$11,$C$12))</f>
        <v/>
      </c>
      <c r="F81" s="6">
        <f>D81*E81*$C$13</f>
        <v/>
      </c>
      <c r="G81" s="6">
        <f>F81*$C$14</f>
        <v/>
      </c>
      <c r="H81" s="6">
        <f>F81+G81</f>
        <v/>
      </c>
      <c r="I81" s="6">
        <f>IF($C$15&gt;0,G81/$C$15,0)</f>
        <v/>
      </c>
      <c r="J81" s="6">
        <f>I81*$C$16</f>
        <v/>
      </c>
      <c r="K81">
        <f>IF(A81=1,$C$24,IF(A81=2,$C$25,$C$26))*$C$23</f>
        <v/>
      </c>
      <c r="L81" t="n">
        <v>0</v>
      </c>
      <c r="M81" s="4">
        <f>J81+K81+L81</f>
        <v/>
      </c>
      <c r="N81" s="4">
        <f>M81*$C$6</f>
        <v/>
      </c>
      <c r="O81" s="4">
        <f>IF(M81&gt;0,N81*J81/M81,0)</f>
        <v/>
      </c>
      <c r="P81">
        <f>IF(M81&gt;0,N81*K81/M81,0)</f>
        <v/>
      </c>
      <c r="Q81">
        <f>IF(M81&gt;0,N81*L81/M81,0)</f>
        <v/>
      </c>
      <c r="R81" s="4">
        <f>X81*$C$27</f>
        <v/>
      </c>
      <c r="S81" s="4">
        <f>O81*$C$7</f>
        <v/>
      </c>
      <c r="T81" s="4">
        <f>P81*$C$7</f>
        <v/>
      </c>
      <c r="U81">
        <f>Q81*$C$7</f>
        <v/>
      </c>
      <c r="V81" s="4">
        <f>R81+S81+T81+U81</f>
        <v/>
      </c>
      <c r="W81">
        <f>IF(A81=1,$C$17,IF(A81=2,$C$18,$C$19))</f>
        <v/>
      </c>
      <c r="X81" s="4">
        <f>Z80</f>
        <v/>
      </c>
      <c r="Y81" s="4">
        <f>X81*W81</f>
        <v/>
      </c>
      <c r="Z81" s="4">
        <f>X81-Y81+V81</f>
        <v/>
      </c>
      <c r="AA81" s="9">
        <f>$C$4</f>
        <v/>
      </c>
      <c r="AB81" s="9">
        <f>Z81*AA81</f>
        <v/>
      </c>
      <c r="AC81" s="9">
        <f>E81*$C$29</f>
        <v/>
      </c>
      <c r="AD81" s="9">
        <f>T81*$C$30</f>
        <v/>
      </c>
      <c r="AE81" s="9">
        <f>IF(A81=1,$C$31,IF(A81=2,$C$32,$C$33))</f>
        <v/>
      </c>
      <c r="AF81" s="9">
        <f>R81*$C$28</f>
        <v/>
      </c>
      <c r="AG81" s="9">
        <f>AC81+AD81+AE81+AF81</f>
        <v/>
      </c>
      <c r="AH81" s="9">
        <f>IF(AB81&gt;=$C$36,$C$35,0)</f>
        <v/>
      </c>
      <c r="AI81" s="9">
        <f>IF(AB81&gt;=$C$38,$C$37,0)</f>
        <v/>
      </c>
      <c r="AJ81" s="9">
        <f>$C$34</f>
        <v/>
      </c>
      <c r="AK81" s="9">
        <f>AG81+AH81+AI81+AJ81</f>
        <v/>
      </c>
      <c r="AL81" s="9">
        <f>AB81-AK81</f>
        <v/>
      </c>
      <c r="AM81" s="9">
        <f>AM80+AL81</f>
        <v/>
      </c>
    </row>
    <row r="82">
      <c r="A82" t="n">
        <v>3</v>
      </c>
      <c r="B82" t="n">
        <v>3</v>
      </c>
      <c r="C82" s="4">
        <f>D81</f>
        <v/>
      </c>
      <c r="D82" s="4">
        <f>C82*(1+$C$9)</f>
        <v/>
      </c>
      <c r="E82">
        <f>IF(A82=1,$C$10,IF(A82=2,$C$11,$C$12))</f>
        <v/>
      </c>
      <c r="F82" s="6">
        <f>D82*E82*$C$13</f>
        <v/>
      </c>
      <c r="G82" s="6">
        <f>F82*$C$14</f>
        <v/>
      </c>
      <c r="H82" s="6">
        <f>F82+G82</f>
        <v/>
      </c>
      <c r="I82" s="6">
        <f>IF($C$15&gt;0,G82/$C$15,0)</f>
        <v/>
      </c>
      <c r="J82" s="6">
        <f>I82*$C$16</f>
        <v/>
      </c>
      <c r="K82">
        <f>IF(A82=1,$C$24,IF(A82=2,$C$25,$C$26))*$C$23</f>
        <v/>
      </c>
      <c r="L82" t="n">
        <v>0</v>
      </c>
      <c r="M82" s="4">
        <f>J82+K82+L82</f>
        <v/>
      </c>
      <c r="N82" s="4">
        <f>M82*$C$6</f>
        <v/>
      </c>
      <c r="O82" s="4">
        <f>IF(M82&gt;0,N82*J82/M82,0)</f>
        <v/>
      </c>
      <c r="P82">
        <f>IF(M82&gt;0,N82*K82/M82,0)</f>
        <v/>
      </c>
      <c r="Q82">
        <f>IF(M82&gt;0,N82*L82/M82,0)</f>
        <v/>
      </c>
      <c r="R82" s="4">
        <f>X82*$C$27</f>
        <v/>
      </c>
      <c r="S82" s="4">
        <f>O82*$C$7</f>
        <v/>
      </c>
      <c r="T82" s="4">
        <f>P82*$C$7</f>
        <v/>
      </c>
      <c r="U82">
        <f>Q82*$C$7</f>
        <v/>
      </c>
      <c r="V82" s="4">
        <f>R82+S82+T82+U82</f>
        <v/>
      </c>
      <c r="W82">
        <f>IF(A82=1,$C$17,IF(A82=2,$C$18,$C$19))</f>
        <v/>
      </c>
      <c r="X82" s="4">
        <f>Z81</f>
        <v/>
      </c>
      <c r="Y82" s="4">
        <f>X82*W82</f>
        <v/>
      </c>
      <c r="Z82" s="4">
        <f>X82-Y82+V82</f>
        <v/>
      </c>
      <c r="AA82" s="9">
        <f>$C$4</f>
        <v/>
      </c>
      <c r="AB82" s="9">
        <f>Z82*AA82</f>
        <v/>
      </c>
      <c r="AC82" s="9">
        <f>E82*$C$29</f>
        <v/>
      </c>
      <c r="AD82" s="9">
        <f>T82*$C$30</f>
        <v/>
      </c>
      <c r="AE82" s="9">
        <f>IF(A82=1,$C$31,IF(A82=2,$C$32,$C$33))</f>
        <v/>
      </c>
      <c r="AF82" s="9">
        <f>R82*$C$28</f>
        <v/>
      </c>
      <c r="AG82" s="9">
        <f>AC82+AD82+AE82+AF82</f>
        <v/>
      </c>
      <c r="AH82" s="9">
        <f>IF(AB82&gt;=$C$36,$C$35,0)</f>
        <v/>
      </c>
      <c r="AI82" s="9">
        <f>IF(AB82&gt;=$C$38,$C$37,0)</f>
        <v/>
      </c>
      <c r="AJ82" s="9">
        <f>$C$34</f>
        <v/>
      </c>
      <c r="AK82" s="9">
        <f>AG82+AH82+AI82+AJ82</f>
        <v/>
      </c>
      <c r="AL82" s="9">
        <f>AB82-AK82</f>
        <v/>
      </c>
      <c r="AM82" s="9">
        <f>AM81+AL82</f>
        <v/>
      </c>
    </row>
    <row r="83">
      <c r="A83" t="n">
        <v>3</v>
      </c>
      <c r="B83" t="n">
        <v>4</v>
      </c>
      <c r="C83" s="4">
        <f>D82</f>
        <v/>
      </c>
      <c r="D83" s="4">
        <f>C83*(1+$C$9)</f>
        <v/>
      </c>
      <c r="E83">
        <f>IF(A83=1,$C$10,IF(A83=2,$C$11,$C$12))</f>
        <v/>
      </c>
      <c r="F83" s="6">
        <f>D83*E83*$C$13</f>
        <v/>
      </c>
      <c r="G83" s="6">
        <f>F83*$C$14</f>
        <v/>
      </c>
      <c r="H83" s="6">
        <f>F83+G83</f>
        <v/>
      </c>
      <c r="I83" s="6">
        <f>IF($C$15&gt;0,G83/$C$15,0)</f>
        <v/>
      </c>
      <c r="J83" s="6">
        <f>I83*$C$16</f>
        <v/>
      </c>
      <c r="K83">
        <f>IF(A83=1,$C$24,IF(A83=2,$C$25,$C$26))*$C$23</f>
        <v/>
      </c>
      <c r="L83" t="n">
        <v>0</v>
      </c>
      <c r="M83" s="4">
        <f>J83+K83+L83</f>
        <v/>
      </c>
      <c r="N83" s="4">
        <f>M83*$C$6</f>
        <v/>
      </c>
      <c r="O83" s="4">
        <f>IF(M83&gt;0,N83*J83/M83,0)</f>
        <v/>
      </c>
      <c r="P83">
        <f>IF(M83&gt;0,N83*K83/M83,0)</f>
        <v/>
      </c>
      <c r="Q83">
        <f>IF(M83&gt;0,N83*L83/M83,0)</f>
        <v/>
      </c>
      <c r="R83" s="4">
        <f>X83*$C$27</f>
        <v/>
      </c>
      <c r="S83" s="4">
        <f>O83*$C$7</f>
        <v/>
      </c>
      <c r="T83" s="4">
        <f>P83*$C$7</f>
        <v/>
      </c>
      <c r="U83">
        <f>Q83*$C$7</f>
        <v/>
      </c>
      <c r="V83" s="4">
        <f>R83+S83+T83+U83</f>
        <v/>
      </c>
      <c r="W83">
        <f>IF(A83=1,$C$17,IF(A83=2,$C$18,$C$19))</f>
        <v/>
      </c>
      <c r="X83" s="4">
        <f>Z82</f>
        <v/>
      </c>
      <c r="Y83" s="4">
        <f>X83*W83</f>
        <v/>
      </c>
      <c r="Z83" s="4">
        <f>X83-Y83+V83</f>
        <v/>
      </c>
      <c r="AA83" s="9">
        <f>$C$4</f>
        <v/>
      </c>
      <c r="AB83" s="9">
        <f>Z83*AA83</f>
        <v/>
      </c>
      <c r="AC83" s="9">
        <f>E83*$C$29</f>
        <v/>
      </c>
      <c r="AD83" s="9">
        <f>T83*$C$30</f>
        <v/>
      </c>
      <c r="AE83" s="9">
        <f>IF(A83=1,$C$31,IF(A83=2,$C$32,$C$33))</f>
        <v/>
      </c>
      <c r="AF83" s="9">
        <f>R83*$C$28</f>
        <v/>
      </c>
      <c r="AG83" s="9">
        <f>AC83+AD83+AE83+AF83</f>
        <v/>
      </c>
      <c r="AH83" s="9">
        <f>IF(AB83&gt;=$C$36,$C$35,0)</f>
        <v/>
      </c>
      <c r="AI83" s="9">
        <f>IF(AB83&gt;=$C$38,$C$37,0)</f>
        <v/>
      </c>
      <c r="AJ83" s="9">
        <f>$C$34</f>
        <v/>
      </c>
      <c r="AK83" s="9">
        <f>AG83+AH83+AI83+AJ83</f>
        <v/>
      </c>
      <c r="AL83" s="9">
        <f>AB83-AK83</f>
        <v/>
      </c>
      <c r="AM83" s="9">
        <f>AM82+AL83</f>
        <v/>
      </c>
    </row>
    <row r="84">
      <c r="A84" t="n">
        <v>3</v>
      </c>
      <c r="B84" t="n">
        <v>5</v>
      </c>
      <c r="C84" s="4">
        <f>D83</f>
        <v/>
      </c>
      <c r="D84" s="4">
        <f>C84*(1+$C$9)</f>
        <v/>
      </c>
      <c r="E84">
        <f>IF(A84=1,$C$10,IF(A84=2,$C$11,$C$12))</f>
        <v/>
      </c>
      <c r="F84" s="6">
        <f>D84*E84*$C$13</f>
        <v/>
      </c>
      <c r="G84" s="6">
        <f>F84*$C$14</f>
        <v/>
      </c>
      <c r="H84" s="6">
        <f>F84+G84</f>
        <v/>
      </c>
      <c r="I84" s="6">
        <f>IF($C$15&gt;0,G84/$C$15,0)</f>
        <v/>
      </c>
      <c r="J84" s="6">
        <f>I84*$C$16</f>
        <v/>
      </c>
      <c r="K84">
        <f>IF(A84=1,$C$24,IF(A84=2,$C$25,$C$26))*$C$23</f>
        <v/>
      </c>
      <c r="L84" t="n">
        <v>0</v>
      </c>
      <c r="M84" s="4">
        <f>J84+K84+L84</f>
        <v/>
      </c>
      <c r="N84" s="4">
        <f>M84*$C$6</f>
        <v/>
      </c>
      <c r="O84" s="4">
        <f>IF(M84&gt;0,N84*J84/M84,0)</f>
        <v/>
      </c>
      <c r="P84">
        <f>IF(M84&gt;0,N84*K84/M84,0)</f>
        <v/>
      </c>
      <c r="Q84">
        <f>IF(M84&gt;0,N84*L84/M84,0)</f>
        <v/>
      </c>
      <c r="R84" s="4">
        <f>X84*$C$27</f>
        <v/>
      </c>
      <c r="S84" s="4">
        <f>O84*$C$7</f>
        <v/>
      </c>
      <c r="T84" s="4">
        <f>P84*$C$7</f>
        <v/>
      </c>
      <c r="U84">
        <f>Q84*$C$7</f>
        <v/>
      </c>
      <c r="V84" s="4">
        <f>R84+S84+T84+U84</f>
        <v/>
      </c>
      <c r="W84">
        <f>IF(A84=1,$C$17,IF(A84=2,$C$18,$C$19))</f>
        <v/>
      </c>
      <c r="X84" s="4">
        <f>Z83</f>
        <v/>
      </c>
      <c r="Y84" s="4">
        <f>X84*W84</f>
        <v/>
      </c>
      <c r="Z84" s="4">
        <f>X84-Y84+V84</f>
        <v/>
      </c>
      <c r="AA84" s="9">
        <f>$C$4</f>
        <v/>
      </c>
      <c r="AB84" s="9">
        <f>Z84*AA84</f>
        <v/>
      </c>
      <c r="AC84" s="9">
        <f>E84*$C$29</f>
        <v/>
      </c>
      <c r="AD84" s="9">
        <f>T84*$C$30</f>
        <v/>
      </c>
      <c r="AE84" s="9">
        <f>IF(A84=1,$C$31,IF(A84=2,$C$32,$C$33))</f>
        <v/>
      </c>
      <c r="AF84" s="9">
        <f>R84*$C$28</f>
        <v/>
      </c>
      <c r="AG84" s="9">
        <f>AC84+AD84+AE84+AF84</f>
        <v/>
      </c>
      <c r="AH84" s="9">
        <f>IF(AB84&gt;=$C$36,$C$35,0)</f>
        <v/>
      </c>
      <c r="AI84" s="9">
        <f>IF(AB84&gt;=$C$38,$C$37,0)</f>
        <v/>
      </c>
      <c r="AJ84" s="9">
        <f>$C$34</f>
        <v/>
      </c>
      <c r="AK84" s="9">
        <f>AG84+AH84+AI84+AJ84</f>
        <v/>
      </c>
      <c r="AL84" s="9">
        <f>AB84-AK84</f>
        <v/>
      </c>
      <c r="AM84" s="9">
        <f>AM83+AL84</f>
        <v/>
      </c>
    </row>
    <row r="85">
      <c r="A85" t="n">
        <v>3</v>
      </c>
      <c r="B85" t="n">
        <v>6</v>
      </c>
      <c r="C85" s="4">
        <f>D84</f>
        <v/>
      </c>
      <c r="D85" s="4">
        <f>C85*(1+$C$9)</f>
        <v/>
      </c>
      <c r="E85">
        <f>IF(A85=1,$C$10,IF(A85=2,$C$11,$C$12))</f>
        <v/>
      </c>
      <c r="F85" s="6">
        <f>D85*E85*$C$13</f>
        <v/>
      </c>
      <c r="G85" s="6">
        <f>F85*$C$14</f>
        <v/>
      </c>
      <c r="H85" s="6">
        <f>F85+G85</f>
        <v/>
      </c>
      <c r="I85" s="6">
        <f>IF($C$15&gt;0,G85/$C$15,0)</f>
        <v/>
      </c>
      <c r="J85" s="6">
        <f>I85*$C$16</f>
        <v/>
      </c>
      <c r="K85">
        <f>IF(A85=1,$C$24,IF(A85=2,$C$25,$C$26))*$C$23</f>
        <v/>
      </c>
      <c r="L85" t="n">
        <v>0</v>
      </c>
      <c r="M85" s="4">
        <f>J85+K85+L85</f>
        <v/>
      </c>
      <c r="N85" s="4">
        <f>M85*$C$6</f>
        <v/>
      </c>
      <c r="O85" s="4">
        <f>IF(M85&gt;0,N85*J85/M85,0)</f>
        <v/>
      </c>
      <c r="P85">
        <f>IF(M85&gt;0,N85*K85/M85,0)</f>
        <v/>
      </c>
      <c r="Q85">
        <f>IF(M85&gt;0,N85*L85/M85,0)</f>
        <v/>
      </c>
      <c r="R85" s="4">
        <f>X85*$C$27</f>
        <v/>
      </c>
      <c r="S85" s="4">
        <f>O85*$C$7</f>
        <v/>
      </c>
      <c r="T85" s="4">
        <f>P85*$C$7</f>
        <v/>
      </c>
      <c r="U85">
        <f>Q85*$C$7</f>
        <v/>
      </c>
      <c r="V85" s="4">
        <f>R85+S85+T85+U85</f>
        <v/>
      </c>
      <c r="W85">
        <f>IF(A85=1,$C$17,IF(A85=2,$C$18,$C$19))</f>
        <v/>
      </c>
      <c r="X85" s="4">
        <f>Z84</f>
        <v/>
      </c>
      <c r="Y85" s="4">
        <f>X85*W85</f>
        <v/>
      </c>
      <c r="Z85" s="4">
        <f>X85-Y85+V85</f>
        <v/>
      </c>
      <c r="AA85" s="9">
        <f>$C$4</f>
        <v/>
      </c>
      <c r="AB85" s="9">
        <f>Z85*AA85</f>
        <v/>
      </c>
      <c r="AC85" s="9">
        <f>E85*$C$29</f>
        <v/>
      </c>
      <c r="AD85" s="9">
        <f>T85*$C$30</f>
        <v/>
      </c>
      <c r="AE85" s="9">
        <f>IF(A85=1,$C$31,IF(A85=2,$C$32,$C$33))</f>
        <v/>
      </c>
      <c r="AF85" s="9">
        <f>R85*$C$28</f>
        <v/>
      </c>
      <c r="AG85" s="9">
        <f>AC85+AD85+AE85+AF85</f>
        <v/>
      </c>
      <c r="AH85" s="9">
        <f>IF(AB85&gt;=$C$36,$C$35,0)</f>
        <v/>
      </c>
      <c r="AI85" s="9">
        <f>IF(AB85&gt;=$C$38,$C$37,0)</f>
        <v/>
      </c>
      <c r="AJ85" s="9">
        <f>$C$34</f>
        <v/>
      </c>
      <c r="AK85" s="9">
        <f>AG85+AH85+AI85+AJ85</f>
        <v/>
      </c>
      <c r="AL85" s="9">
        <f>AB85-AK85</f>
        <v/>
      </c>
      <c r="AM85" s="9">
        <f>AM84+AL85</f>
        <v/>
      </c>
    </row>
    <row r="86">
      <c r="A86" t="n">
        <v>3</v>
      </c>
      <c r="B86" t="n">
        <v>7</v>
      </c>
      <c r="C86" s="4">
        <f>D85</f>
        <v/>
      </c>
      <c r="D86" s="4">
        <f>C86*(1+$C$9)</f>
        <v/>
      </c>
      <c r="E86">
        <f>IF(A86=1,$C$10,IF(A86=2,$C$11,$C$12))</f>
        <v/>
      </c>
      <c r="F86" s="6">
        <f>D86*E86*$C$13</f>
        <v/>
      </c>
      <c r="G86" s="6">
        <f>F86*$C$14</f>
        <v/>
      </c>
      <c r="H86" s="6">
        <f>F86+G86</f>
        <v/>
      </c>
      <c r="I86" s="6">
        <f>IF($C$15&gt;0,G86/$C$15,0)</f>
        <v/>
      </c>
      <c r="J86" s="6">
        <f>I86*$C$16</f>
        <v/>
      </c>
      <c r="K86">
        <f>IF(A86=1,$C$24,IF(A86=2,$C$25,$C$26))*$C$23</f>
        <v/>
      </c>
      <c r="L86" t="n">
        <v>0</v>
      </c>
      <c r="M86" s="4">
        <f>J86+K86+L86</f>
        <v/>
      </c>
      <c r="N86" s="4">
        <f>M86*$C$6</f>
        <v/>
      </c>
      <c r="O86" s="4">
        <f>IF(M86&gt;0,N86*J86/M86,0)</f>
        <v/>
      </c>
      <c r="P86">
        <f>IF(M86&gt;0,N86*K86/M86,0)</f>
        <v/>
      </c>
      <c r="Q86">
        <f>IF(M86&gt;0,N86*L86/M86,0)</f>
        <v/>
      </c>
      <c r="R86" s="4">
        <f>X86*$C$27</f>
        <v/>
      </c>
      <c r="S86" s="4">
        <f>O86*$C$7</f>
        <v/>
      </c>
      <c r="T86" s="4">
        <f>P86*$C$7</f>
        <v/>
      </c>
      <c r="U86">
        <f>Q86*$C$7</f>
        <v/>
      </c>
      <c r="V86" s="4">
        <f>R86+S86+T86+U86</f>
        <v/>
      </c>
      <c r="W86">
        <f>IF(A86=1,$C$17,IF(A86=2,$C$18,$C$19))</f>
        <v/>
      </c>
      <c r="X86" s="4">
        <f>Z85</f>
        <v/>
      </c>
      <c r="Y86" s="4">
        <f>X86*W86</f>
        <v/>
      </c>
      <c r="Z86" s="4">
        <f>X86-Y86+V86</f>
        <v/>
      </c>
      <c r="AA86" s="9">
        <f>$C$4</f>
        <v/>
      </c>
      <c r="AB86" s="9">
        <f>Z86*AA86</f>
        <v/>
      </c>
      <c r="AC86" s="9">
        <f>E86*$C$29</f>
        <v/>
      </c>
      <c r="AD86" s="9">
        <f>T86*$C$30</f>
        <v/>
      </c>
      <c r="AE86" s="9">
        <f>IF(A86=1,$C$31,IF(A86=2,$C$32,$C$33))</f>
        <v/>
      </c>
      <c r="AF86" s="9">
        <f>R86*$C$28</f>
        <v/>
      </c>
      <c r="AG86" s="9">
        <f>AC86+AD86+AE86+AF86</f>
        <v/>
      </c>
      <c r="AH86" s="9">
        <f>IF(AB86&gt;=$C$36,$C$35,0)</f>
        <v/>
      </c>
      <c r="AI86" s="9">
        <f>IF(AB86&gt;=$C$38,$C$37,0)</f>
        <v/>
      </c>
      <c r="AJ86" s="9">
        <f>$C$34</f>
        <v/>
      </c>
      <c r="AK86" s="9">
        <f>AG86+AH86+AI86+AJ86</f>
        <v/>
      </c>
      <c r="AL86" s="9">
        <f>AB86-AK86</f>
        <v/>
      </c>
      <c r="AM86" s="9">
        <f>AM85+AL86</f>
        <v/>
      </c>
    </row>
    <row r="87">
      <c r="A87" t="n">
        <v>3</v>
      </c>
      <c r="B87" t="n">
        <v>8</v>
      </c>
      <c r="C87" s="4">
        <f>D86</f>
        <v/>
      </c>
      <c r="D87" s="4">
        <f>C87*(1+$C$9)</f>
        <v/>
      </c>
      <c r="E87">
        <f>IF(A87=1,$C$10,IF(A87=2,$C$11,$C$12))</f>
        <v/>
      </c>
      <c r="F87" s="6">
        <f>D87*E87*$C$13</f>
        <v/>
      </c>
      <c r="G87" s="6">
        <f>F87*$C$14</f>
        <v/>
      </c>
      <c r="H87" s="6">
        <f>F87+G87</f>
        <v/>
      </c>
      <c r="I87" s="6">
        <f>IF($C$15&gt;0,G87/$C$15,0)</f>
        <v/>
      </c>
      <c r="J87" s="6">
        <f>I87*$C$16</f>
        <v/>
      </c>
      <c r="K87">
        <f>IF(A87=1,$C$24,IF(A87=2,$C$25,$C$26))*$C$23</f>
        <v/>
      </c>
      <c r="L87" t="n">
        <v>0</v>
      </c>
      <c r="M87" s="4">
        <f>J87+K87+L87</f>
        <v/>
      </c>
      <c r="N87" s="4">
        <f>M87*$C$6</f>
        <v/>
      </c>
      <c r="O87" s="4">
        <f>IF(M87&gt;0,N87*J87/M87,0)</f>
        <v/>
      </c>
      <c r="P87">
        <f>IF(M87&gt;0,N87*K87/M87,0)</f>
        <v/>
      </c>
      <c r="Q87">
        <f>IF(M87&gt;0,N87*L87/M87,0)</f>
        <v/>
      </c>
      <c r="R87" s="4">
        <f>X87*$C$27</f>
        <v/>
      </c>
      <c r="S87" s="4">
        <f>O87*$C$7</f>
        <v/>
      </c>
      <c r="T87" s="4">
        <f>P87*$C$7</f>
        <v/>
      </c>
      <c r="U87">
        <f>Q87*$C$7</f>
        <v/>
      </c>
      <c r="V87" s="4">
        <f>R87+S87+T87+U87</f>
        <v/>
      </c>
      <c r="W87">
        <f>IF(A87=1,$C$17,IF(A87=2,$C$18,$C$19))</f>
        <v/>
      </c>
      <c r="X87" s="4">
        <f>Z86</f>
        <v/>
      </c>
      <c r="Y87" s="4">
        <f>X87*W87</f>
        <v/>
      </c>
      <c r="Z87" s="4">
        <f>X87-Y87+V87</f>
        <v/>
      </c>
      <c r="AA87" s="9">
        <f>$C$4</f>
        <v/>
      </c>
      <c r="AB87" s="9">
        <f>Z87*AA87</f>
        <v/>
      </c>
      <c r="AC87" s="9">
        <f>E87*$C$29</f>
        <v/>
      </c>
      <c r="AD87" s="9">
        <f>T87*$C$30</f>
        <v/>
      </c>
      <c r="AE87" s="9">
        <f>IF(A87=1,$C$31,IF(A87=2,$C$32,$C$33))</f>
        <v/>
      </c>
      <c r="AF87" s="9">
        <f>R87*$C$28</f>
        <v/>
      </c>
      <c r="AG87" s="9">
        <f>AC87+AD87+AE87+AF87</f>
        <v/>
      </c>
      <c r="AH87" s="9">
        <f>IF(AB87&gt;=$C$36,$C$35,0)</f>
        <v/>
      </c>
      <c r="AI87" s="9">
        <f>IF(AB87&gt;=$C$38,$C$37,0)</f>
        <v/>
      </c>
      <c r="AJ87" s="9">
        <f>$C$34</f>
        <v/>
      </c>
      <c r="AK87" s="9">
        <f>AG87+AH87+AI87+AJ87</f>
        <v/>
      </c>
      <c r="AL87" s="9">
        <f>AB87-AK87</f>
        <v/>
      </c>
      <c r="AM87" s="9">
        <f>AM86+AL87</f>
        <v/>
      </c>
    </row>
    <row r="88">
      <c r="A88" t="n">
        <v>3</v>
      </c>
      <c r="B88" t="n">
        <v>9</v>
      </c>
      <c r="C88" s="4">
        <f>D87</f>
        <v/>
      </c>
      <c r="D88" s="4">
        <f>C88*(1+$C$9)</f>
        <v/>
      </c>
      <c r="E88">
        <f>IF(A88=1,$C$10,IF(A88=2,$C$11,$C$12))</f>
        <v/>
      </c>
      <c r="F88" s="6">
        <f>D88*E88*$C$13</f>
        <v/>
      </c>
      <c r="G88" s="6">
        <f>F88*$C$14</f>
        <v/>
      </c>
      <c r="H88" s="6">
        <f>F88+G88</f>
        <v/>
      </c>
      <c r="I88" s="6">
        <f>IF($C$15&gt;0,G88/$C$15,0)</f>
        <v/>
      </c>
      <c r="J88" s="6">
        <f>I88*$C$16</f>
        <v/>
      </c>
      <c r="K88">
        <f>IF(A88=1,$C$24,IF(A88=2,$C$25,$C$26))*$C$23</f>
        <v/>
      </c>
      <c r="L88" t="n">
        <v>0</v>
      </c>
      <c r="M88" s="4">
        <f>J88+K88+L88</f>
        <v/>
      </c>
      <c r="N88" s="4">
        <f>M88*$C$6</f>
        <v/>
      </c>
      <c r="O88" s="4">
        <f>IF(M88&gt;0,N88*J88/M88,0)</f>
        <v/>
      </c>
      <c r="P88">
        <f>IF(M88&gt;0,N88*K88/M88,0)</f>
        <v/>
      </c>
      <c r="Q88">
        <f>IF(M88&gt;0,N88*L88/M88,0)</f>
        <v/>
      </c>
      <c r="R88" s="4">
        <f>X88*$C$27</f>
        <v/>
      </c>
      <c r="S88" s="4">
        <f>O88*$C$7</f>
        <v/>
      </c>
      <c r="T88" s="4">
        <f>P88*$C$7</f>
        <v/>
      </c>
      <c r="U88">
        <f>Q88*$C$7</f>
        <v/>
      </c>
      <c r="V88" s="4">
        <f>R88+S88+T88+U88</f>
        <v/>
      </c>
      <c r="W88">
        <f>IF(A88=1,$C$17,IF(A88=2,$C$18,$C$19))</f>
        <v/>
      </c>
      <c r="X88" s="4">
        <f>Z87</f>
        <v/>
      </c>
      <c r="Y88" s="4">
        <f>X88*W88</f>
        <v/>
      </c>
      <c r="Z88" s="4">
        <f>X88-Y88+V88</f>
        <v/>
      </c>
      <c r="AA88" s="9">
        <f>$C$4</f>
        <v/>
      </c>
      <c r="AB88" s="9">
        <f>Z88*AA88</f>
        <v/>
      </c>
      <c r="AC88" s="9">
        <f>E88*$C$29</f>
        <v/>
      </c>
      <c r="AD88" s="9">
        <f>T88*$C$30</f>
        <v/>
      </c>
      <c r="AE88" s="9">
        <f>IF(A88=1,$C$31,IF(A88=2,$C$32,$C$33))</f>
        <v/>
      </c>
      <c r="AF88" s="9">
        <f>R88*$C$28</f>
        <v/>
      </c>
      <c r="AG88" s="9">
        <f>AC88+AD88+AE88+AF88</f>
        <v/>
      </c>
      <c r="AH88" s="9">
        <f>IF(AB88&gt;=$C$36,$C$35,0)</f>
        <v/>
      </c>
      <c r="AI88" s="9">
        <f>IF(AB88&gt;=$C$38,$C$37,0)</f>
        <v/>
      </c>
      <c r="AJ88" s="9">
        <f>$C$34</f>
        <v/>
      </c>
      <c r="AK88" s="9">
        <f>AG88+AH88+AI88+AJ88</f>
        <v/>
      </c>
      <c r="AL88" s="9">
        <f>AB88-AK88</f>
        <v/>
      </c>
      <c r="AM88" s="9">
        <f>AM87+AL88</f>
        <v/>
      </c>
    </row>
    <row r="89">
      <c r="A89" t="n">
        <v>3</v>
      </c>
      <c r="B89" t="n">
        <v>10</v>
      </c>
      <c r="C89" s="4">
        <f>D88</f>
        <v/>
      </c>
      <c r="D89" s="4">
        <f>C89*(1+$C$9)</f>
        <v/>
      </c>
      <c r="E89">
        <f>IF(A89=1,$C$10,IF(A89=2,$C$11,$C$12))</f>
        <v/>
      </c>
      <c r="F89" s="6">
        <f>D89*E89*$C$13</f>
        <v/>
      </c>
      <c r="G89" s="6">
        <f>F89*$C$14</f>
        <v/>
      </c>
      <c r="H89" s="6">
        <f>F89+G89</f>
        <v/>
      </c>
      <c r="I89" s="6">
        <f>IF($C$15&gt;0,G89/$C$15,0)</f>
        <v/>
      </c>
      <c r="J89" s="6">
        <f>I89*$C$16</f>
        <v/>
      </c>
      <c r="K89">
        <f>IF(A89=1,$C$24,IF(A89=2,$C$25,$C$26))*$C$23</f>
        <v/>
      </c>
      <c r="L89" t="n">
        <v>0</v>
      </c>
      <c r="M89" s="4">
        <f>J89+K89+L89</f>
        <v/>
      </c>
      <c r="N89" s="4">
        <f>M89*$C$6</f>
        <v/>
      </c>
      <c r="O89" s="4">
        <f>IF(M89&gt;0,N89*J89/M89,0)</f>
        <v/>
      </c>
      <c r="P89">
        <f>IF(M89&gt;0,N89*K89/M89,0)</f>
        <v/>
      </c>
      <c r="Q89">
        <f>IF(M89&gt;0,N89*L89/M89,0)</f>
        <v/>
      </c>
      <c r="R89" s="4">
        <f>X89*$C$27</f>
        <v/>
      </c>
      <c r="S89" s="4">
        <f>O89*$C$7</f>
        <v/>
      </c>
      <c r="T89" s="4">
        <f>P89*$C$7</f>
        <v/>
      </c>
      <c r="U89">
        <f>Q89*$C$7</f>
        <v/>
      </c>
      <c r="V89" s="4">
        <f>R89+S89+T89+U89</f>
        <v/>
      </c>
      <c r="W89">
        <f>IF(A89=1,$C$17,IF(A89=2,$C$18,$C$19))</f>
        <v/>
      </c>
      <c r="X89" s="4">
        <f>Z88</f>
        <v/>
      </c>
      <c r="Y89" s="4">
        <f>X89*W89</f>
        <v/>
      </c>
      <c r="Z89" s="4">
        <f>X89-Y89+V89</f>
        <v/>
      </c>
      <c r="AA89" s="9">
        <f>$C$4</f>
        <v/>
      </c>
      <c r="AB89" s="9">
        <f>Z89*AA89</f>
        <v/>
      </c>
      <c r="AC89" s="9">
        <f>E89*$C$29</f>
        <v/>
      </c>
      <c r="AD89" s="9">
        <f>T89*$C$30</f>
        <v/>
      </c>
      <c r="AE89" s="9">
        <f>IF(A89=1,$C$31,IF(A89=2,$C$32,$C$33))</f>
        <v/>
      </c>
      <c r="AF89" s="9">
        <f>R89*$C$28</f>
        <v/>
      </c>
      <c r="AG89" s="9">
        <f>AC89+AD89+AE89+AF89</f>
        <v/>
      </c>
      <c r="AH89" s="9">
        <f>IF(AB89&gt;=$C$36,$C$35,0)</f>
        <v/>
      </c>
      <c r="AI89" s="9">
        <f>IF(AB89&gt;=$C$38,$C$37,0)</f>
        <v/>
      </c>
      <c r="AJ89" s="9">
        <f>$C$34</f>
        <v/>
      </c>
      <c r="AK89" s="9">
        <f>AG89+AH89+AI89+AJ89</f>
        <v/>
      </c>
      <c r="AL89" s="9">
        <f>AB89-AK89</f>
        <v/>
      </c>
      <c r="AM89" s="9">
        <f>AM88+AL89</f>
        <v/>
      </c>
    </row>
    <row r="90">
      <c r="A90" t="n">
        <v>3</v>
      </c>
      <c r="B90" t="n">
        <v>11</v>
      </c>
      <c r="C90" s="4">
        <f>D89</f>
        <v/>
      </c>
      <c r="D90" s="4">
        <f>C90*(1+$C$9)</f>
        <v/>
      </c>
      <c r="E90">
        <f>IF(A90=1,$C$10,IF(A90=2,$C$11,$C$12))</f>
        <v/>
      </c>
      <c r="F90" s="6">
        <f>D90*E90*$C$13</f>
        <v/>
      </c>
      <c r="G90" s="6">
        <f>F90*$C$14</f>
        <v/>
      </c>
      <c r="H90" s="6">
        <f>F90+G90</f>
        <v/>
      </c>
      <c r="I90" s="6">
        <f>IF($C$15&gt;0,G90/$C$15,0)</f>
        <v/>
      </c>
      <c r="J90" s="6">
        <f>I90*$C$16</f>
        <v/>
      </c>
      <c r="K90">
        <f>IF(A90=1,$C$24,IF(A90=2,$C$25,$C$26))*$C$23</f>
        <v/>
      </c>
      <c r="L90" t="n">
        <v>0</v>
      </c>
      <c r="M90" s="4">
        <f>J90+K90+L90</f>
        <v/>
      </c>
      <c r="N90" s="4">
        <f>M90*$C$6</f>
        <v/>
      </c>
      <c r="O90" s="4">
        <f>IF(M90&gt;0,N90*J90/M90,0)</f>
        <v/>
      </c>
      <c r="P90">
        <f>IF(M90&gt;0,N90*K90/M90,0)</f>
        <v/>
      </c>
      <c r="Q90">
        <f>IF(M90&gt;0,N90*L90/M90,0)</f>
        <v/>
      </c>
      <c r="R90" s="4">
        <f>X90*$C$27</f>
        <v/>
      </c>
      <c r="S90" s="4">
        <f>O90*$C$7</f>
        <v/>
      </c>
      <c r="T90" s="4">
        <f>P90*$C$7</f>
        <v/>
      </c>
      <c r="U90">
        <f>Q90*$C$7</f>
        <v/>
      </c>
      <c r="V90" s="4">
        <f>R90+S90+T90+U90</f>
        <v/>
      </c>
      <c r="W90">
        <f>IF(A90=1,$C$17,IF(A90=2,$C$18,$C$19))</f>
        <v/>
      </c>
      <c r="X90" s="4">
        <f>Z89</f>
        <v/>
      </c>
      <c r="Y90" s="4">
        <f>X90*W90</f>
        <v/>
      </c>
      <c r="Z90" s="4">
        <f>X90-Y90+V90</f>
        <v/>
      </c>
      <c r="AA90" s="9">
        <f>$C$4</f>
        <v/>
      </c>
      <c r="AB90" s="9">
        <f>Z90*AA90</f>
        <v/>
      </c>
      <c r="AC90" s="9">
        <f>E90*$C$29</f>
        <v/>
      </c>
      <c r="AD90" s="9">
        <f>T90*$C$30</f>
        <v/>
      </c>
      <c r="AE90" s="9">
        <f>IF(A90=1,$C$31,IF(A90=2,$C$32,$C$33))</f>
        <v/>
      </c>
      <c r="AF90" s="9">
        <f>R90*$C$28</f>
        <v/>
      </c>
      <c r="AG90" s="9">
        <f>AC90+AD90+AE90+AF90</f>
        <v/>
      </c>
      <c r="AH90" s="9">
        <f>IF(AB90&gt;=$C$36,$C$35,0)</f>
        <v/>
      </c>
      <c r="AI90" s="9">
        <f>IF(AB90&gt;=$C$38,$C$37,0)</f>
        <v/>
      </c>
      <c r="AJ90" s="9">
        <f>$C$34</f>
        <v/>
      </c>
      <c r="AK90" s="9">
        <f>AG90+AH90+AI90+AJ90</f>
        <v/>
      </c>
      <c r="AL90" s="9">
        <f>AB90-AK90</f>
        <v/>
      </c>
      <c r="AM90" s="9">
        <f>AM89+AL90</f>
        <v/>
      </c>
    </row>
    <row r="91">
      <c r="A91" t="n">
        <v>3</v>
      </c>
      <c r="B91" t="n">
        <v>12</v>
      </c>
      <c r="C91" s="4">
        <f>D90</f>
        <v/>
      </c>
      <c r="D91" s="4">
        <f>C91*(1+$C$9)</f>
        <v/>
      </c>
      <c r="E91">
        <f>IF(A91=1,$C$10,IF(A91=2,$C$11,$C$12))</f>
        <v/>
      </c>
      <c r="F91" s="6">
        <f>D91*E91*$C$13</f>
        <v/>
      </c>
      <c r="G91" s="6">
        <f>F91*$C$14</f>
        <v/>
      </c>
      <c r="H91" s="6">
        <f>F91+G91</f>
        <v/>
      </c>
      <c r="I91" s="6">
        <f>IF($C$15&gt;0,G91/$C$15,0)</f>
        <v/>
      </c>
      <c r="J91" s="6">
        <f>I91*$C$16</f>
        <v/>
      </c>
      <c r="K91">
        <f>IF(A91=1,$C$24,IF(A91=2,$C$25,$C$26))*$C$23</f>
        <v/>
      </c>
      <c r="L91" t="n">
        <v>0</v>
      </c>
      <c r="M91" s="4">
        <f>J91+K91+L91</f>
        <v/>
      </c>
      <c r="N91" s="4">
        <f>M91*$C$6</f>
        <v/>
      </c>
      <c r="O91" s="4">
        <f>IF(M91&gt;0,N91*J91/M91,0)</f>
        <v/>
      </c>
      <c r="P91">
        <f>IF(M91&gt;0,N91*K91/M91,0)</f>
        <v/>
      </c>
      <c r="Q91">
        <f>IF(M91&gt;0,N91*L91/M91,0)</f>
        <v/>
      </c>
      <c r="R91" s="4">
        <f>X91*$C$27</f>
        <v/>
      </c>
      <c r="S91" s="4">
        <f>O91*$C$7</f>
        <v/>
      </c>
      <c r="T91" s="4">
        <f>P91*$C$7</f>
        <v/>
      </c>
      <c r="U91">
        <f>Q91*$C$7</f>
        <v/>
      </c>
      <c r="V91" s="4">
        <f>R91+S91+T91+U91</f>
        <v/>
      </c>
      <c r="W91">
        <f>IF(A91=1,$C$17,IF(A91=2,$C$18,$C$19))</f>
        <v/>
      </c>
      <c r="X91" s="4">
        <f>Z90</f>
        <v/>
      </c>
      <c r="Y91" s="4">
        <f>X91*W91</f>
        <v/>
      </c>
      <c r="Z91" s="4">
        <f>X91-Y91+V91</f>
        <v/>
      </c>
      <c r="AA91" s="9">
        <f>$C$4</f>
        <v/>
      </c>
      <c r="AB91" s="9">
        <f>Z91*AA91</f>
        <v/>
      </c>
      <c r="AC91" s="9">
        <f>E91*$C$29</f>
        <v/>
      </c>
      <c r="AD91" s="9">
        <f>T91*$C$30</f>
        <v/>
      </c>
      <c r="AE91" s="9">
        <f>IF(A91=1,$C$31,IF(A91=2,$C$32,$C$33))</f>
        <v/>
      </c>
      <c r="AF91" s="9">
        <f>R91*$C$28</f>
        <v/>
      </c>
      <c r="AG91" s="9">
        <f>AC91+AD91+AE91+AF91</f>
        <v/>
      </c>
      <c r="AH91" s="9">
        <f>IF(AB91&gt;=$C$36,$C$35,0)</f>
        <v/>
      </c>
      <c r="AI91" s="9">
        <f>IF(AB91&gt;=$C$38,$C$37,0)</f>
        <v/>
      </c>
      <c r="AJ91" s="9">
        <f>$C$34</f>
        <v/>
      </c>
      <c r="AK91" s="9">
        <f>AG91+AH91+AI91+AJ91</f>
        <v/>
      </c>
      <c r="AL91" s="9">
        <f>AB91-AK91</f>
        <v/>
      </c>
      <c r="AM91" s="9">
        <f>AM90+AL91</f>
        <v/>
      </c>
    </row>
    <row r="94">
      <c r="A94" s="2" t="inlineStr">
        <is>
          <t>Year</t>
        </is>
      </c>
      <c r="B94" s="2" t="inlineStr">
        <is>
          <t>End_Paying_Users</t>
        </is>
      </c>
      <c r="C94" s="2" t="inlineStr">
        <is>
          <t>End_MRR_EUR</t>
        </is>
      </c>
      <c r="D94" s="2" t="inlineStr">
        <is>
          <t>ARR_EUR</t>
        </is>
      </c>
      <c r="E94" s="2" t="inlineStr">
        <is>
          <t>Total_New_Customers</t>
        </is>
      </c>
      <c r="F94" s="2" t="inlineStr">
        <is>
          <t>New_Customers_Org</t>
        </is>
      </c>
      <c r="G94" s="2" t="inlineStr">
        <is>
          <t>New_Customers_Inf</t>
        </is>
      </c>
      <c r="H94" s="2" t="inlineStr">
        <is>
          <t>New_Customers_Referral</t>
        </is>
      </c>
      <c r="I94" s="2" t="inlineStr">
        <is>
          <t>New_Customers_Other</t>
        </is>
      </c>
      <c r="J94" s="2" t="inlineStr">
        <is>
          <t>Share_Org</t>
        </is>
      </c>
      <c r="K94" s="2" t="inlineStr">
        <is>
          <t>Share_Inf</t>
        </is>
      </c>
      <c r="L94" s="2" t="inlineStr">
        <is>
          <t>Share_Referral</t>
        </is>
      </c>
      <c r="M94" s="2" t="inlineStr">
        <is>
          <t>Share_Other</t>
        </is>
      </c>
      <c r="N94" s="2" t="inlineStr">
        <is>
          <t>Total_Marketing_Spend_EUR</t>
        </is>
      </c>
      <c r="O94" s="2" t="inlineStr">
        <is>
          <t>Org_Marketing_Spend_EUR</t>
        </is>
      </c>
      <c r="P94" s="2" t="inlineStr">
        <is>
          <t>Inf_Marketing_Spend_EUR</t>
        </is>
      </c>
      <c r="Q94" s="2" t="inlineStr">
        <is>
          <t>Referral_Marketing_Spend_EUR</t>
        </is>
      </c>
      <c r="R94" s="2" t="inlineStr">
        <is>
          <t>Other_Marketing_Spend_EUR</t>
        </is>
      </c>
      <c r="S94" s="2" t="inlineStr">
        <is>
          <t>CAC_Overall_EUR</t>
        </is>
      </c>
      <c r="T94" s="2" t="inlineStr">
        <is>
          <t>CAC_Org_EUR</t>
        </is>
      </c>
      <c r="U94" s="2" t="inlineStr">
        <is>
          <t>CAC_Inf_EUR</t>
        </is>
      </c>
      <c r="V94" s="2" t="inlineStr">
        <is>
          <t>CAC_Referral_EUR</t>
        </is>
      </c>
      <c r="W94" s="2" t="inlineStr">
        <is>
          <t>CAC_Other_EUR</t>
        </is>
      </c>
      <c r="X94" s="2" t="inlineStr">
        <is>
          <t>Assumed_Monthly_Churn</t>
        </is>
      </c>
      <c r="Y94" s="2" t="inlineStr">
        <is>
          <t>LTV_EUR</t>
        </is>
      </c>
      <c r="Z94" s="2" t="inlineStr">
        <is>
          <t>LTV_CAC_Ratio_Overall</t>
        </is>
      </c>
      <c r="AA94" s="2" t="inlineStr">
        <is>
          <t>Cumulative_Cash_EndOfYear</t>
        </is>
      </c>
      <c r="AB94" s="2" t="inlineStr">
        <is>
          <t>Total_Social_Views</t>
        </is>
      </c>
    </row>
    <row r="95">
      <c r="A95" t="n">
        <v>1</v>
      </c>
      <c r="B95" s="3">
        <f>Z67</f>
        <v/>
      </c>
      <c r="C95" s="10">
        <f>AB67</f>
        <v/>
      </c>
      <c r="D95" s="10">
        <f>C95*12</f>
        <v/>
      </c>
      <c r="E95" s="4">
        <f>SUM(V56:V67)</f>
        <v/>
      </c>
      <c r="F95" s="4">
        <f>SUM(S56:S67)</f>
        <v/>
      </c>
      <c r="G95" s="4">
        <f>SUM(T56:T67)</f>
        <v/>
      </c>
      <c r="H95" s="4">
        <f>SUM(R56:R67)</f>
        <v/>
      </c>
      <c r="I95" s="4">
        <f>SUM(U56:U67)</f>
        <v/>
      </c>
      <c r="J95" s="4">
        <f>IF(E95&gt;0,F95/E95,"")</f>
        <v/>
      </c>
      <c r="K95" s="4">
        <f>IF(E95&gt;0,G95/E95,"")</f>
        <v/>
      </c>
      <c r="L95" s="4">
        <f>IF(E95&gt;0,H95/E95,"")</f>
        <v/>
      </c>
      <c r="M95" s="4">
        <f>IF(E95&gt;0,I95/E95,"")</f>
        <v/>
      </c>
      <c r="N95">
        <f>SUM(AG56:AG67)</f>
        <v/>
      </c>
      <c r="O95">
        <f>SUM(AC56:AC67)</f>
        <v/>
      </c>
      <c r="P95">
        <f>SUM(AD56:AD67)</f>
        <v/>
      </c>
      <c r="Q95">
        <f>SUM(AF56:AF67)</f>
        <v/>
      </c>
      <c r="R95">
        <f>SUM(AE56:AE67)</f>
        <v/>
      </c>
      <c r="S95">
        <f>IF(E95&gt;0,N95/E95,"")</f>
        <v/>
      </c>
      <c r="T95">
        <f>IF(F95&gt;0,O95/F95,"")</f>
        <v/>
      </c>
      <c r="U95">
        <f>IF(G95&gt;0,P95/G95,"")</f>
        <v/>
      </c>
      <c r="V95">
        <f>IF(H95&gt;0,Q95/H95,"")</f>
        <v/>
      </c>
      <c r="W95">
        <f>IF(I95&gt;0,R95/I95,"")</f>
        <v/>
      </c>
      <c r="X95">
        <f>$C$17</f>
        <v/>
      </c>
      <c r="Y95">
        <f>$C$4*$C$5/$C$17</f>
        <v/>
      </c>
      <c r="Z95">
        <f>IF(S95&gt;0,Y95/S95,"")</f>
        <v/>
      </c>
      <c r="AA95">
        <f>AM67</f>
        <v/>
      </c>
      <c r="AB95">
        <f>SUM(H56:H67)</f>
        <v/>
      </c>
    </row>
    <row r="96">
      <c r="A96" t="n">
        <v>2</v>
      </c>
      <c r="B96" s="3">
        <f>Z79</f>
        <v/>
      </c>
      <c r="C96" s="10">
        <f>AB79</f>
        <v/>
      </c>
      <c r="D96" s="10">
        <f>C96*12</f>
        <v/>
      </c>
      <c r="E96" s="4">
        <f>SUM(V68:V79)</f>
        <v/>
      </c>
      <c r="F96" s="4">
        <f>SUM(S68:S79)</f>
        <v/>
      </c>
      <c r="G96" s="4">
        <f>SUM(T68:T79)</f>
        <v/>
      </c>
      <c r="H96" s="4">
        <f>SUM(R68:R79)</f>
        <v/>
      </c>
      <c r="I96" s="4">
        <f>SUM(U68:U79)</f>
        <v/>
      </c>
      <c r="J96" s="4">
        <f>IF(E96&gt;0,F96/E96,"")</f>
        <v/>
      </c>
      <c r="K96" s="4">
        <f>IF(E96&gt;0,G96/E96,"")</f>
        <v/>
      </c>
      <c r="L96" s="4">
        <f>IF(E96&gt;0,H96/E96,"")</f>
        <v/>
      </c>
      <c r="M96" s="4">
        <f>IF(E96&gt;0,I96/E96,"")</f>
        <v/>
      </c>
      <c r="N96">
        <f>SUM(AG68:AG79)</f>
        <v/>
      </c>
      <c r="O96">
        <f>SUM(AC68:AC79)</f>
        <v/>
      </c>
      <c r="P96">
        <f>SUM(AD68:AD79)</f>
        <v/>
      </c>
      <c r="Q96">
        <f>SUM(AF68:AF79)</f>
        <v/>
      </c>
      <c r="R96">
        <f>SUM(AE68:AE79)</f>
        <v/>
      </c>
      <c r="S96">
        <f>IF(E96&gt;0,N96/E96,"")</f>
        <v/>
      </c>
      <c r="T96">
        <f>IF(F96&gt;0,O96/F96,"")</f>
        <v/>
      </c>
      <c r="U96">
        <f>IF(G96&gt;0,P96/G96,"")</f>
        <v/>
      </c>
      <c r="V96">
        <f>IF(H96&gt;0,Q96/H96,"")</f>
        <v/>
      </c>
      <c r="W96">
        <f>IF(I96&gt;0,R96/I96,"")</f>
        <v/>
      </c>
      <c r="X96">
        <f>$C$18</f>
        <v/>
      </c>
      <c r="Y96">
        <f>$C$4*$C$5/$C$18</f>
        <v/>
      </c>
      <c r="Z96">
        <f>IF(S96&gt;0,Y96/S96,"")</f>
        <v/>
      </c>
      <c r="AA96">
        <f>AM79</f>
        <v/>
      </c>
      <c r="AB96">
        <f>SUM(H68:H79)</f>
        <v/>
      </c>
    </row>
    <row r="97">
      <c r="A97" t="n">
        <v>3</v>
      </c>
      <c r="B97" s="3">
        <f>Z91</f>
        <v/>
      </c>
      <c r="C97" s="10">
        <f>AB91</f>
        <v/>
      </c>
      <c r="D97" s="10">
        <f>C97*12</f>
        <v/>
      </c>
      <c r="E97" s="4">
        <f>SUM(V80:V91)</f>
        <v/>
      </c>
      <c r="F97" s="4">
        <f>SUM(S80:S91)</f>
        <v/>
      </c>
      <c r="G97" s="4">
        <f>SUM(T80:T91)</f>
        <v/>
      </c>
      <c r="H97" s="4">
        <f>SUM(R80:R91)</f>
        <v/>
      </c>
      <c r="I97" s="4">
        <f>SUM(U80:U91)</f>
        <v/>
      </c>
      <c r="J97" s="4">
        <f>IF(E97&gt;0,F97/E97,"")</f>
        <v/>
      </c>
      <c r="K97" s="4">
        <f>IF(E97&gt;0,G97/E97,"")</f>
        <v/>
      </c>
      <c r="L97" s="4">
        <f>IF(E97&gt;0,H97/E97,"")</f>
        <v/>
      </c>
      <c r="M97" s="4">
        <f>IF(E97&gt;0,I97/E97,"")</f>
        <v/>
      </c>
      <c r="N97">
        <f>SUM(AG80:AG91)</f>
        <v/>
      </c>
      <c r="O97">
        <f>SUM(AC80:AC91)</f>
        <v/>
      </c>
      <c r="P97">
        <f>SUM(AD80:AD91)</f>
        <v/>
      </c>
      <c r="Q97">
        <f>SUM(AF80:AF91)</f>
        <v/>
      </c>
      <c r="R97">
        <f>SUM(AE80:AE91)</f>
        <v/>
      </c>
      <c r="S97">
        <f>IF(E97&gt;0,N97/E97,"")</f>
        <v/>
      </c>
      <c r="T97">
        <f>IF(F97&gt;0,O97/F97,"")</f>
        <v/>
      </c>
      <c r="U97">
        <f>IF(G97&gt;0,P97/G97,"")</f>
        <v/>
      </c>
      <c r="V97">
        <f>IF(H97&gt;0,Q97/H97,"")</f>
        <v/>
      </c>
      <c r="W97">
        <f>IF(I97&gt;0,R97/I97,"")</f>
        <v/>
      </c>
      <c r="X97">
        <f>$C$19</f>
        <v/>
      </c>
      <c r="Y97">
        <f>$C$4*$C$5/$C$19</f>
        <v/>
      </c>
      <c r="Z97">
        <f>IF(S97&gt;0,Y97/S97,"")</f>
        <v/>
      </c>
      <c r="AA97">
        <f>AM91</f>
        <v/>
      </c>
      <c r="AB97">
        <f>SUM(H80:H91)</f>
        <v/>
      </c>
    </row>
    <row r="98">
      <c r="A98" s="11" t="n"/>
      <c r="B98" s="11" t="n"/>
      <c r="C98" s="11" t="n"/>
      <c r="D98" s="11" t="n"/>
      <c r="E98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Riccardo Capobianco</dc:creator>
  <dcterms:created xsi:type="dcterms:W3CDTF">2025-11-27T09:29:13Z</dcterms:created>
  <dcterms:modified xsi:type="dcterms:W3CDTF">2025-11-28T09:43:42Z</dcterms:modified>
  <cp:lastModifiedBy>Riccardo Capobianco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0x01010030295682DCF9A54EA53FEAFCCC89947D</vt:lpwstr>
  </property>
</Properties>
</file>