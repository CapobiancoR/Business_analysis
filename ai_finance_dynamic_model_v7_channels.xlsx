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mia\Desktop\"/>
    </mc:Choice>
  </mc:AlternateContent>
  <xr:revisionPtr revIDLastSave="0" documentId="13_ncr:1_{1C105C00-2596-47F1-A1D2-F16B2F8FD846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Mode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7" i="1" l="1"/>
  <c r="C23" i="1" l="1"/>
  <c r="K68" i="1" s="1"/>
  <c r="Y97" i="1"/>
  <c r="X97" i="1"/>
  <c r="Y96" i="1"/>
  <c r="X96" i="1"/>
  <c r="Y95" i="1"/>
  <c r="X95" i="1"/>
  <c r="AJ91" i="1"/>
  <c r="AE91" i="1"/>
  <c r="AA91" i="1"/>
  <c r="W91" i="1"/>
  <c r="E91" i="1"/>
  <c r="AC91" i="1" s="1"/>
  <c r="AJ90" i="1"/>
  <c r="AE90" i="1"/>
  <c r="AA90" i="1"/>
  <c r="W90" i="1"/>
  <c r="E90" i="1"/>
  <c r="AC90" i="1" s="1"/>
  <c r="AJ89" i="1"/>
  <c r="AE89" i="1"/>
  <c r="AA89" i="1"/>
  <c r="W89" i="1"/>
  <c r="E89" i="1"/>
  <c r="AC89" i="1" s="1"/>
  <c r="AJ88" i="1"/>
  <c r="AE88" i="1"/>
  <c r="AA88" i="1"/>
  <c r="W88" i="1"/>
  <c r="E88" i="1"/>
  <c r="AC88" i="1" s="1"/>
  <c r="AJ87" i="1"/>
  <c r="AE87" i="1"/>
  <c r="AA87" i="1"/>
  <c r="W87" i="1"/>
  <c r="E87" i="1"/>
  <c r="AC87" i="1" s="1"/>
  <c r="AJ86" i="1"/>
  <c r="AE86" i="1"/>
  <c r="AA86" i="1"/>
  <c r="W86" i="1"/>
  <c r="E86" i="1"/>
  <c r="AC86" i="1" s="1"/>
  <c r="AJ85" i="1"/>
  <c r="AE85" i="1"/>
  <c r="AA85" i="1"/>
  <c r="W85" i="1"/>
  <c r="E85" i="1"/>
  <c r="AC85" i="1" s="1"/>
  <c r="AJ84" i="1"/>
  <c r="AE84" i="1"/>
  <c r="AA84" i="1"/>
  <c r="W84" i="1"/>
  <c r="E84" i="1"/>
  <c r="AC84" i="1" s="1"/>
  <c r="AJ83" i="1"/>
  <c r="AE83" i="1"/>
  <c r="AA83" i="1"/>
  <c r="W83" i="1"/>
  <c r="E83" i="1"/>
  <c r="AC83" i="1" s="1"/>
  <c r="AJ82" i="1"/>
  <c r="AE82" i="1"/>
  <c r="AA82" i="1"/>
  <c r="W82" i="1"/>
  <c r="E82" i="1"/>
  <c r="AC82" i="1" s="1"/>
  <c r="AJ81" i="1"/>
  <c r="AE81" i="1"/>
  <c r="AA81" i="1"/>
  <c r="W81" i="1"/>
  <c r="E81" i="1"/>
  <c r="AC81" i="1" s="1"/>
  <c r="AJ80" i="1"/>
  <c r="AE80" i="1"/>
  <c r="AA80" i="1"/>
  <c r="W80" i="1"/>
  <c r="E80" i="1"/>
  <c r="AC80" i="1" s="1"/>
  <c r="AJ79" i="1"/>
  <c r="AE79" i="1"/>
  <c r="AA79" i="1"/>
  <c r="W79" i="1"/>
  <c r="E79" i="1"/>
  <c r="AC79" i="1" s="1"/>
  <c r="AJ78" i="1"/>
  <c r="AE78" i="1"/>
  <c r="AA78" i="1"/>
  <c r="W78" i="1"/>
  <c r="E78" i="1"/>
  <c r="AC78" i="1" s="1"/>
  <c r="AJ77" i="1"/>
  <c r="AE77" i="1"/>
  <c r="AA77" i="1"/>
  <c r="W77" i="1"/>
  <c r="E77" i="1"/>
  <c r="AC77" i="1" s="1"/>
  <c r="AJ76" i="1"/>
  <c r="AE76" i="1"/>
  <c r="AA76" i="1"/>
  <c r="W76" i="1"/>
  <c r="E76" i="1"/>
  <c r="AC76" i="1" s="1"/>
  <c r="AJ75" i="1"/>
  <c r="AE75" i="1"/>
  <c r="AA75" i="1"/>
  <c r="W75" i="1"/>
  <c r="E75" i="1"/>
  <c r="AC75" i="1" s="1"/>
  <c r="AJ74" i="1"/>
  <c r="AE74" i="1"/>
  <c r="AA74" i="1"/>
  <c r="W74" i="1"/>
  <c r="E74" i="1"/>
  <c r="AC74" i="1" s="1"/>
  <c r="AJ73" i="1"/>
  <c r="AE73" i="1"/>
  <c r="AA73" i="1"/>
  <c r="W73" i="1"/>
  <c r="E73" i="1"/>
  <c r="AC73" i="1" s="1"/>
  <c r="AJ72" i="1"/>
  <c r="AE72" i="1"/>
  <c r="AA72" i="1"/>
  <c r="W72" i="1"/>
  <c r="E72" i="1"/>
  <c r="AC72" i="1" s="1"/>
  <c r="AJ71" i="1"/>
  <c r="AE71" i="1"/>
  <c r="AA71" i="1"/>
  <c r="W71" i="1"/>
  <c r="E71" i="1"/>
  <c r="AC71" i="1" s="1"/>
  <c r="AJ70" i="1"/>
  <c r="AE70" i="1"/>
  <c r="AA70" i="1"/>
  <c r="W70" i="1"/>
  <c r="E70" i="1"/>
  <c r="AC70" i="1" s="1"/>
  <c r="AJ69" i="1"/>
  <c r="AE69" i="1"/>
  <c r="AA69" i="1"/>
  <c r="W69" i="1"/>
  <c r="E69" i="1"/>
  <c r="AC69" i="1" s="1"/>
  <c r="AJ68" i="1"/>
  <c r="AE68" i="1"/>
  <c r="AA68" i="1"/>
  <c r="W68" i="1"/>
  <c r="E68" i="1"/>
  <c r="AC68" i="1" s="1"/>
  <c r="AJ67" i="1"/>
  <c r="AE67" i="1"/>
  <c r="AA67" i="1"/>
  <c r="W67" i="1"/>
  <c r="E67" i="1"/>
  <c r="AC67" i="1" s="1"/>
  <c r="AJ66" i="1"/>
  <c r="AE66" i="1"/>
  <c r="AA66" i="1"/>
  <c r="W66" i="1"/>
  <c r="E66" i="1"/>
  <c r="AC66" i="1" s="1"/>
  <c r="AJ65" i="1"/>
  <c r="AE65" i="1"/>
  <c r="AA65" i="1"/>
  <c r="W65" i="1"/>
  <c r="E65" i="1"/>
  <c r="AC65" i="1" s="1"/>
  <c r="AJ64" i="1"/>
  <c r="AE64" i="1"/>
  <c r="AA64" i="1"/>
  <c r="W64" i="1"/>
  <c r="E64" i="1"/>
  <c r="AC64" i="1" s="1"/>
  <c r="AJ63" i="1"/>
  <c r="AE63" i="1"/>
  <c r="AA63" i="1"/>
  <c r="W63" i="1"/>
  <c r="E63" i="1"/>
  <c r="AC63" i="1" s="1"/>
  <c r="AJ62" i="1"/>
  <c r="AE62" i="1"/>
  <c r="AA62" i="1"/>
  <c r="W62" i="1"/>
  <c r="E62" i="1"/>
  <c r="AC62" i="1" s="1"/>
  <c r="AJ61" i="1"/>
  <c r="AE61" i="1"/>
  <c r="AA61" i="1"/>
  <c r="W61" i="1"/>
  <c r="E61" i="1"/>
  <c r="AC61" i="1" s="1"/>
  <c r="AJ60" i="1"/>
  <c r="AE60" i="1"/>
  <c r="AA60" i="1"/>
  <c r="W60" i="1"/>
  <c r="E60" i="1"/>
  <c r="AC60" i="1" s="1"/>
  <c r="AJ59" i="1"/>
  <c r="AE59" i="1"/>
  <c r="AA59" i="1"/>
  <c r="W59" i="1"/>
  <c r="E59" i="1"/>
  <c r="AC59" i="1" s="1"/>
  <c r="AJ58" i="1"/>
  <c r="AE58" i="1"/>
  <c r="AA58" i="1"/>
  <c r="W58" i="1"/>
  <c r="E58" i="1"/>
  <c r="AC58" i="1" s="1"/>
  <c r="AJ57" i="1"/>
  <c r="AE57" i="1"/>
  <c r="AA57" i="1"/>
  <c r="W57" i="1"/>
  <c r="E57" i="1"/>
  <c r="AC57" i="1" s="1"/>
  <c r="AJ56" i="1"/>
  <c r="AE56" i="1"/>
  <c r="AA56" i="1"/>
  <c r="W56" i="1"/>
  <c r="Y56" i="1" s="1"/>
  <c r="R56" i="1"/>
  <c r="AF56" i="1" s="1"/>
  <c r="E56" i="1"/>
  <c r="AC56" i="1" s="1"/>
  <c r="C56" i="1"/>
  <c r="D56" i="1" s="1"/>
  <c r="K66" i="1" l="1"/>
  <c r="K90" i="1"/>
  <c r="R97" i="1"/>
  <c r="K79" i="1"/>
  <c r="K59" i="1"/>
  <c r="K86" i="1"/>
  <c r="R96" i="1"/>
  <c r="K77" i="1"/>
  <c r="K88" i="1"/>
  <c r="K61" i="1"/>
  <c r="K72" i="1"/>
  <c r="K56" i="1"/>
  <c r="K83" i="1"/>
  <c r="K67" i="1"/>
  <c r="K89" i="1"/>
  <c r="K73" i="1"/>
  <c r="K84" i="1"/>
  <c r="K74" i="1"/>
  <c r="K80" i="1"/>
  <c r="K91" i="1"/>
  <c r="K81" i="1"/>
  <c r="K87" i="1"/>
  <c r="K65" i="1"/>
  <c r="K76" i="1"/>
  <c r="K60" i="1"/>
  <c r="K71" i="1"/>
  <c r="K63" i="1"/>
  <c r="K85" i="1"/>
  <c r="K58" i="1"/>
  <c r="K69" i="1"/>
  <c r="K64" i="1"/>
  <c r="K75" i="1"/>
  <c r="K82" i="1"/>
  <c r="K57" i="1"/>
  <c r="C57" i="1"/>
  <c r="D57" i="1" s="1"/>
  <c r="F56" i="1"/>
  <c r="R95" i="1"/>
  <c r="O96" i="1"/>
  <c r="O95" i="1"/>
  <c r="O97" i="1"/>
  <c r="K62" i="1"/>
  <c r="K70" i="1"/>
  <c r="K78" i="1"/>
  <c r="G56" i="1" l="1"/>
  <c r="I56" i="1" s="1"/>
  <c r="J56" i="1" s="1"/>
  <c r="M56" i="1" s="1"/>
  <c r="C58" i="1"/>
  <c r="D58" i="1" s="1"/>
  <c r="H56" i="1" l="1"/>
  <c r="G57" i="1"/>
  <c r="I57" i="1" s="1"/>
  <c r="J57" i="1" s="1"/>
  <c r="M57" i="1" s="1"/>
  <c r="C59" i="1"/>
  <c r="D59" i="1" s="1"/>
  <c r="F58" i="1"/>
  <c r="N56" i="1"/>
  <c r="P56" i="1" s="1"/>
  <c r="T56" i="1" s="1"/>
  <c r="AD56" i="1" l="1"/>
  <c r="C60" i="1"/>
  <c r="D60" i="1" s="1"/>
  <c r="F59" i="1"/>
  <c r="Q56" i="1"/>
  <c r="U56" i="1" s="1"/>
  <c r="O56" i="1"/>
  <c r="S56" i="1" s="1"/>
  <c r="G58" i="1"/>
  <c r="I58" i="1" s="1"/>
  <c r="J58" i="1" s="1"/>
  <c r="M58" i="1" s="1"/>
  <c r="N57" i="1"/>
  <c r="P57" i="1" s="1"/>
  <c r="T57" i="1" s="1"/>
  <c r="H57" i="1"/>
  <c r="AD57" i="1" l="1"/>
  <c r="N58" i="1"/>
  <c r="Q57" i="1"/>
  <c r="U57" i="1" s="1"/>
  <c r="V56" i="1"/>
  <c r="G59" i="1"/>
  <c r="I59" i="1" s="1"/>
  <c r="J59" i="1" s="1"/>
  <c r="M59" i="1" s="1"/>
  <c r="AG56" i="1"/>
  <c r="O57" i="1"/>
  <c r="S57" i="1" s="1"/>
  <c r="H58" i="1"/>
  <c r="F60" i="1"/>
  <c r="C61" i="1"/>
  <c r="D61" i="1" s="1"/>
  <c r="Q58" i="1" l="1"/>
  <c r="U58" i="1" s="1"/>
  <c r="P58" i="1"/>
  <c r="G60" i="1"/>
  <c r="I60" i="1" s="1"/>
  <c r="J60" i="1" s="1"/>
  <c r="M60" i="1" s="1"/>
  <c r="H59" i="1"/>
  <c r="C62" i="1"/>
  <c r="D62" i="1" s="1"/>
  <c r="F61" i="1"/>
  <c r="N59" i="1"/>
  <c r="O59" i="1" s="1"/>
  <c r="S59" i="1" s="1"/>
  <c r="Z56" i="1"/>
  <c r="T58" i="1"/>
  <c r="O58" i="1"/>
  <c r="S58" i="1" s="1"/>
  <c r="G61" i="1" l="1"/>
  <c r="I61" i="1" s="1"/>
  <c r="J61" i="1" s="1"/>
  <c r="M61" i="1" s="1"/>
  <c r="AD58" i="1"/>
  <c r="Q59" i="1"/>
  <c r="U59" i="1" s="1"/>
  <c r="X57" i="1"/>
  <c r="AB56" i="1"/>
  <c r="P59" i="1"/>
  <c r="T59" i="1" s="1"/>
  <c r="AD59" i="1" s="1"/>
  <c r="F62" i="1"/>
  <c r="C63" i="1"/>
  <c r="D63" i="1" s="1"/>
  <c r="N60" i="1"/>
  <c r="Q60" i="1" s="1"/>
  <c r="U60" i="1" s="1"/>
  <c r="H60" i="1"/>
  <c r="H61" i="1" l="1"/>
  <c r="O60" i="1"/>
  <c r="S60" i="1" s="1"/>
  <c r="P60" i="1"/>
  <c r="T60" i="1" s="1"/>
  <c r="AD60" i="1" s="1"/>
  <c r="C64" i="1"/>
  <c r="D64" i="1" s="1"/>
  <c r="F63" i="1"/>
  <c r="G62" i="1"/>
  <c r="I62" i="1" s="1"/>
  <c r="J62" i="1" s="1"/>
  <c r="M62" i="1" s="1"/>
  <c r="N62" i="1" s="1"/>
  <c r="AH56" i="1"/>
  <c r="AI56" i="1"/>
  <c r="Y57" i="1"/>
  <c r="R57" i="1"/>
  <c r="N61" i="1"/>
  <c r="P61" i="1" s="1"/>
  <c r="T61" i="1" s="1"/>
  <c r="AD61" i="1" s="1"/>
  <c r="Q61" i="1" l="1"/>
  <c r="U61" i="1" s="1"/>
  <c r="H62" i="1"/>
  <c r="O61" i="1"/>
  <c r="S61" i="1" s="1"/>
  <c r="AK56" i="1"/>
  <c r="AL56" i="1" s="1"/>
  <c r="AM56" i="1" s="1"/>
  <c r="AF57" i="1"/>
  <c r="V57" i="1"/>
  <c r="Q62" i="1"/>
  <c r="U62" i="1" s="1"/>
  <c r="P62" i="1"/>
  <c r="T62" i="1" s="1"/>
  <c r="AD62" i="1" s="1"/>
  <c r="G63" i="1"/>
  <c r="I63" i="1" s="1"/>
  <c r="J63" i="1" s="1"/>
  <c r="M63" i="1" s="1"/>
  <c r="C65" i="1"/>
  <c r="D65" i="1" s="1"/>
  <c r="F64" i="1"/>
  <c r="H63" i="1" l="1"/>
  <c r="F65" i="1"/>
  <c r="C66" i="1"/>
  <c r="D66" i="1" s="1"/>
  <c r="N63" i="1"/>
  <c r="G64" i="1"/>
  <c r="I64" i="1" s="1"/>
  <c r="J64" i="1" s="1"/>
  <c r="M64" i="1" s="1"/>
  <c r="O62" i="1"/>
  <c r="S62" i="1" s="1"/>
  <c r="Z57" i="1"/>
  <c r="AG57" i="1"/>
  <c r="Q63" i="1" l="1"/>
  <c r="U63" i="1" s="1"/>
  <c r="P63" i="1"/>
  <c r="X58" i="1"/>
  <c r="AB57" i="1"/>
  <c r="N64" i="1"/>
  <c r="P64" i="1" s="1"/>
  <c r="T64" i="1" s="1"/>
  <c r="AD64" i="1" s="1"/>
  <c r="H64" i="1"/>
  <c r="O63" i="1"/>
  <c r="S63" i="1" s="1"/>
  <c r="T63" i="1"/>
  <c r="AD63" i="1" s="1"/>
  <c r="C67" i="1"/>
  <c r="D67" i="1" s="1"/>
  <c r="F66" i="1"/>
  <c r="G65" i="1"/>
  <c r="I65" i="1" s="1"/>
  <c r="J65" i="1" s="1"/>
  <c r="M65" i="1" s="1"/>
  <c r="C68" i="1" l="1"/>
  <c r="D68" i="1" s="1"/>
  <c r="F67" i="1"/>
  <c r="H65" i="1"/>
  <c r="Q64" i="1"/>
  <c r="U64" i="1" s="1"/>
  <c r="N65" i="1"/>
  <c r="Q65" i="1" s="1"/>
  <c r="U65" i="1" s="1"/>
  <c r="G66" i="1"/>
  <c r="I66" i="1" s="1"/>
  <c r="J66" i="1" s="1"/>
  <c r="M66" i="1" s="1"/>
  <c r="O64" i="1"/>
  <c r="S64" i="1" s="1"/>
  <c r="AI57" i="1"/>
  <c r="AH57" i="1"/>
  <c r="Y58" i="1"/>
  <c r="R58" i="1"/>
  <c r="AK57" i="1" l="1"/>
  <c r="AL57" i="1" s="1"/>
  <c r="AM57" i="1" s="1"/>
  <c r="H66" i="1"/>
  <c r="V58" i="1"/>
  <c r="AF58" i="1"/>
  <c r="N66" i="1"/>
  <c r="P66" i="1" s="1"/>
  <c r="T66" i="1" s="1"/>
  <c r="AD66" i="1" s="1"/>
  <c r="O65" i="1"/>
  <c r="S65" i="1" s="1"/>
  <c r="P65" i="1"/>
  <c r="T65" i="1" s="1"/>
  <c r="AD65" i="1" s="1"/>
  <c r="G67" i="1"/>
  <c r="I67" i="1" s="1"/>
  <c r="J67" i="1" s="1"/>
  <c r="M67" i="1" s="1"/>
  <c r="C69" i="1"/>
  <c r="D69" i="1" s="1"/>
  <c r="F68" i="1"/>
  <c r="Q66" i="1" l="1"/>
  <c r="U66" i="1" s="1"/>
  <c r="G68" i="1"/>
  <c r="I68" i="1" s="1"/>
  <c r="J68" i="1" s="1"/>
  <c r="M68" i="1" s="1"/>
  <c r="C70" i="1"/>
  <c r="D70" i="1" s="1"/>
  <c r="F69" i="1"/>
  <c r="AG58" i="1"/>
  <c r="N67" i="1"/>
  <c r="P67" i="1" s="1"/>
  <c r="T67" i="1" s="1"/>
  <c r="H67" i="1"/>
  <c r="AB95" i="1" s="1"/>
  <c r="O66" i="1"/>
  <c r="S66" i="1" s="1"/>
  <c r="Z58" i="1"/>
  <c r="AD67" i="1" l="1"/>
  <c r="G95" i="1"/>
  <c r="X59" i="1"/>
  <c r="AB58" i="1"/>
  <c r="O67" i="1"/>
  <c r="S67" i="1" s="1"/>
  <c r="F95" i="1" s="1"/>
  <c r="T95" i="1" s="1"/>
  <c r="Q67" i="1"/>
  <c r="U67" i="1" s="1"/>
  <c r="I95" i="1" s="1"/>
  <c r="W95" i="1" s="1"/>
  <c r="G69" i="1"/>
  <c r="I69" i="1" s="1"/>
  <c r="J69" i="1" s="1"/>
  <c r="M69" i="1" s="1"/>
  <c r="C71" i="1"/>
  <c r="D71" i="1" s="1"/>
  <c r="F70" i="1"/>
  <c r="H68" i="1"/>
  <c r="N68" i="1"/>
  <c r="Q68" i="1" s="1"/>
  <c r="U68" i="1" s="1"/>
  <c r="AI58" i="1" l="1"/>
  <c r="AH58" i="1"/>
  <c r="Y59" i="1"/>
  <c r="R59" i="1"/>
  <c r="P95" i="1"/>
  <c r="U95" i="1" s="1"/>
  <c r="O68" i="1"/>
  <c r="S68" i="1" s="1"/>
  <c r="P68" i="1"/>
  <c r="T68" i="1" s="1"/>
  <c r="G70" i="1"/>
  <c r="I70" i="1" s="1"/>
  <c r="J70" i="1" s="1"/>
  <c r="M70" i="1" s="1"/>
  <c r="C72" i="1"/>
  <c r="D72" i="1" s="1"/>
  <c r="F71" i="1"/>
  <c r="N69" i="1"/>
  <c r="P69" i="1" s="1"/>
  <c r="T69" i="1" s="1"/>
  <c r="AD69" i="1" s="1"/>
  <c r="H69" i="1"/>
  <c r="Q69" i="1" l="1"/>
  <c r="U69" i="1" s="1"/>
  <c r="O69" i="1"/>
  <c r="S69" i="1" s="1"/>
  <c r="AK58" i="1"/>
  <c r="AL58" i="1" s="1"/>
  <c r="AM58" i="1" s="1"/>
  <c r="N70" i="1"/>
  <c r="Q70" i="1" s="1"/>
  <c r="U70" i="1" s="1"/>
  <c r="V59" i="1"/>
  <c r="AF59" i="1"/>
  <c r="G71" i="1"/>
  <c r="I71" i="1" s="1"/>
  <c r="J71" i="1" s="1"/>
  <c r="M71" i="1" s="1"/>
  <c r="C73" i="1"/>
  <c r="D73" i="1" s="1"/>
  <c r="F72" i="1"/>
  <c r="H70" i="1"/>
  <c r="AD68" i="1"/>
  <c r="H71" i="1" l="1"/>
  <c r="F73" i="1"/>
  <c r="C74" i="1"/>
  <c r="D74" i="1" s="1"/>
  <c r="AG59" i="1"/>
  <c r="G72" i="1"/>
  <c r="I72" i="1" s="1"/>
  <c r="J72" i="1" s="1"/>
  <c r="M72" i="1" s="1"/>
  <c r="N71" i="1"/>
  <c r="Q71" i="1" s="1"/>
  <c r="U71" i="1" s="1"/>
  <c r="O70" i="1"/>
  <c r="S70" i="1" s="1"/>
  <c r="P70" i="1"/>
  <c r="T70" i="1" s="1"/>
  <c r="Z59" i="1"/>
  <c r="X60" i="1" l="1"/>
  <c r="AB59" i="1"/>
  <c r="H72" i="1"/>
  <c r="P71" i="1"/>
  <c r="T71" i="1" s="1"/>
  <c r="AD71" i="1" s="1"/>
  <c r="N72" i="1"/>
  <c r="Q72" i="1" s="1"/>
  <c r="U72" i="1" s="1"/>
  <c r="AD70" i="1"/>
  <c r="O71" i="1"/>
  <c r="S71" i="1" s="1"/>
  <c r="C75" i="1"/>
  <c r="D75" i="1" s="1"/>
  <c r="F74" i="1"/>
  <c r="G73" i="1"/>
  <c r="I73" i="1" s="1"/>
  <c r="J73" i="1" s="1"/>
  <c r="M73" i="1" s="1"/>
  <c r="H73" i="1" l="1"/>
  <c r="C76" i="1"/>
  <c r="D76" i="1" s="1"/>
  <c r="F75" i="1"/>
  <c r="O72" i="1"/>
  <c r="S72" i="1" s="1"/>
  <c r="N73" i="1"/>
  <c r="O73" i="1" s="1"/>
  <c r="S73" i="1" s="1"/>
  <c r="G74" i="1"/>
  <c r="I74" i="1" s="1"/>
  <c r="J74" i="1" s="1"/>
  <c r="M74" i="1" s="1"/>
  <c r="P72" i="1"/>
  <c r="T72" i="1" s="1"/>
  <c r="AH59" i="1"/>
  <c r="AI59" i="1"/>
  <c r="R60" i="1"/>
  <c r="Y60" i="1"/>
  <c r="P73" i="1" l="1"/>
  <c r="T73" i="1" s="1"/>
  <c r="AD73" i="1" s="1"/>
  <c r="V60" i="1"/>
  <c r="Z60" i="1" s="1"/>
  <c r="AF60" i="1"/>
  <c r="AG60" i="1" s="1"/>
  <c r="N74" i="1"/>
  <c r="P74" i="1" s="1"/>
  <c r="T74" i="1" s="1"/>
  <c r="H74" i="1"/>
  <c r="Q73" i="1"/>
  <c r="U73" i="1" s="1"/>
  <c r="G75" i="1"/>
  <c r="I75" i="1" s="1"/>
  <c r="J75" i="1" s="1"/>
  <c r="M75" i="1" s="1"/>
  <c r="AK59" i="1"/>
  <c r="AL59" i="1" s="1"/>
  <c r="AM59" i="1" s="1"/>
  <c r="AD72" i="1"/>
  <c r="F76" i="1"/>
  <c r="C77" i="1"/>
  <c r="D77" i="1" s="1"/>
  <c r="H75" i="1" l="1"/>
  <c r="Q74" i="1"/>
  <c r="U74" i="1" s="1"/>
  <c r="O74" i="1"/>
  <c r="S74" i="1" s="1"/>
  <c r="AD74" i="1"/>
  <c r="X61" i="1"/>
  <c r="AB60" i="1"/>
  <c r="C78" i="1"/>
  <c r="D78" i="1" s="1"/>
  <c r="F77" i="1"/>
  <c r="G76" i="1"/>
  <c r="I76" i="1" s="1"/>
  <c r="J76" i="1" s="1"/>
  <c r="M76" i="1" s="1"/>
  <c r="N75" i="1"/>
  <c r="Q75" i="1" s="1"/>
  <c r="U75" i="1" s="1"/>
  <c r="H76" i="1" l="1"/>
  <c r="P75" i="1"/>
  <c r="T75" i="1" s="1"/>
  <c r="AD75" i="1" s="1"/>
  <c r="O75" i="1"/>
  <c r="S75" i="1" s="1"/>
  <c r="N76" i="1"/>
  <c r="Q76" i="1" s="1"/>
  <c r="U76" i="1" s="1"/>
  <c r="G77" i="1"/>
  <c r="I77" i="1" s="1"/>
  <c r="J77" i="1" s="1"/>
  <c r="M77" i="1" s="1"/>
  <c r="C79" i="1"/>
  <c r="D79" i="1" s="1"/>
  <c r="F78" i="1"/>
  <c r="AH60" i="1"/>
  <c r="AI60" i="1"/>
  <c r="Y61" i="1"/>
  <c r="R61" i="1"/>
  <c r="H77" i="1" l="1"/>
  <c r="C80" i="1"/>
  <c r="D80" i="1" s="1"/>
  <c r="F79" i="1"/>
  <c r="V61" i="1"/>
  <c r="Z61" i="1" s="1"/>
  <c r="AF61" i="1"/>
  <c r="AG61" i="1" s="1"/>
  <c r="AK60" i="1"/>
  <c r="AL60" i="1" s="1"/>
  <c r="AM60" i="1" s="1"/>
  <c r="G78" i="1"/>
  <c r="I78" i="1" s="1"/>
  <c r="J78" i="1" s="1"/>
  <c r="M78" i="1" s="1"/>
  <c r="N77" i="1"/>
  <c r="P77" i="1" s="1"/>
  <c r="T77" i="1" s="1"/>
  <c r="AD77" i="1" s="1"/>
  <c r="O76" i="1"/>
  <c r="S76" i="1" s="1"/>
  <c r="P76" i="1"/>
  <c r="T76" i="1" s="1"/>
  <c r="AD76" i="1" s="1"/>
  <c r="Q77" i="1" l="1"/>
  <c r="U77" i="1" s="1"/>
  <c r="X62" i="1"/>
  <c r="AB61" i="1"/>
  <c r="O77" i="1"/>
  <c r="S77" i="1" s="1"/>
  <c r="N78" i="1"/>
  <c r="Q78" i="1" s="1"/>
  <c r="U78" i="1" s="1"/>
  <c r="H78" i="1"/>
  <c r="G79" i="1"/>
  <c r="I79" i="1" s="1"/>
  <c r="J79" i="1" s="1"/>
  <c r="M79" i="1" s="1"/>
  <c r="C81" i="1"/>
  <c r="D81" i="1" s="1"/>
  <c r="F80" i="1"/>
  <c r="N79" i="1" l="1"/>
  <c r="P79" i="1" s="1"/>
  <c r="T79" i="1" s="1"/>
  <c r="P78" i="1"/>
  <c r="T78" i="1" s="1"/>
  <c r="AD78" i="1" s="1"/>
  <c r="G80" i="1"/>
  <c r="I80" i="1" s="1"/>
  <c r="J80" i="1" s="1"/>
  <c r="M80" i="1" s="1"/>
  <c r="H79" i="1"/>
  <c r="AB96" i="1" s="1"/>
  <c r="O78" i="1"/>
  <c r="S78" i="1" s="1"/>
  <c r="Y62" i="1"/>
  <c r="R62" i="1"/>
  <c r="F81" i="1"/>
  <c r="C82" i="1"/>
  <c r="D82" i="1" s="1"/>
  <c r="AH61" i="1"/>
  <c r="AI61" i="1"/>
  <c r="AK61" i="1" l="1"/>
  <c r="AL61" i="1" s="1"/>
  <c r="AM61" i="1" s="1"/>
  <c r="Q79" i="1"/>
  <c r="U79" i="1" s="1"/>
  <c r="I96" i="1" s="1"/>
  <c r="W96" i="1" s="1"/>
  <c r="AD79" i="1"/>
  <c r="G96" i="1"/>
  <c r="V62" i="1"/>
  <c r="Z62" i="1" s="1"/>
  <c r="AF62" i="1"/>
  <c r="AG62" i="1" s="1"/>
  <c r="F82" i="1"/>
  <c r="C83" i="1"/>
  <c r="D83" i="1" s="1"/>
  <c r="N80" i="1"/>
  <c r="Q80" i="1" s="1"/>
  <c r="U80" i="1" s="1"/>
  <c r="H80" i="1"/>
  <c r="O79" i="1"/>
  <c r="S79" i="1" s="1"/>
  <c r="F96" i="1" s="1"/>
  <c r="T96" i="1" s="1"/>
  <c r="G81" i="1"/>
  <c r="I81" i="1" s="1"/>
  <c r="J81" i="1" s="1"/>
  <c r="M81" i="1" s="1"/>
  <c r="O80" i="1" l="1"/>
  <c r="S80" i="1" s="1"/>
  <c r="H81" i="1"/>
  <c r="P80" i="1"/>
  <c r="T80" i="1" s="1"/>
  <c r="X63" i="1"/>
  <c r="AB62" i="1"/>
  <c r="AD80" i="1"/>
  <c r="N81" i="1"/>
  <c r="Q81" i="1" s="1"/>
  <c r="U81" i="1" s="1"/>
  <c r="C84" i="1"/>
  <c r="D84" i="1" s="1"/>
  <c r="F83" i="1"/>
  <c r="G82" i="1"/>
  <c r="I82" i="1" s="1"/>
  <c r="J82" i="1" s="1"/>
  <c r="M82" i="1" s="1"/>
  <c r="P96" i="1"/>
  <c r="U96" i="1" s="1"/>
  <c r="H82" i="1" l="1"/>
  <c r="O81" i="1"/>
  <c r="S81" i="1" s="1"/>
  <c r="P81" i="1"/>
  <c r="T81" i="1" s="1"/>
  <c r="AD81" i="1" s="1"/>
  <c r="F84" i="1"/>
  <c r="C85" i="1"/>
  <c r="D85" i="1" s="1"/>
  <c r="Y63" i="1"/>
  <c r="R63" i="1"/>
  <c r="N82" i="1"/>
  <c r="O82" i="1" s="1"/>
  <c r="S82" i="1" s="1"/>
  <c r="G83" i="1"/>
  <c r="I83" i="1" s="1"/>
  <c r="J83" i="1" s="1"/>
  <c r="M83" i="1" s="1"/>
  <c r="AI62" i="1"/>
  <c r="AH62" i="1"/>
  <c r="AK62" i="1" l="1"/>
  <c r="AL62" i="1" s="1"/>
  <c r="AM62" i="1" s="1"/>
  <c r="P82" i="1"/>
  <c r="T82" i="1" s="1"/>
  <c r="N83" i="1"/>
  <c r="Q83" i="1" s="1"/>
  <c r="U83" i="1" s="1"/>
  <c r="H83" i="1"/>
  <c r="Q82" i="1"/>
  <c r="U82" i="1" s="1"/>
  <c r="V63" i="1"/>
  <c r="Z63" i="1" s="1"/>
  <c r="AF63" i="1"/>
  <c r="AG63" i="1" s="1"/>
  <c r="F85" i="1"/>
  <c r="C86" i="1"/>
  <c r="D86" i="1" s="1"/>
  <c r="G84" i="1"/>
  <c r="I84" i="1" s="1"/>
  <c r="J84" i="1" s="1"/>
  <c r="M84" i="1" s="1"/>
  <c r="O83" i="1" l="1"/>
  <c r="S83" i="1" s="1"/>
  <c r="P83" i="1"/>
  <c r="T83" i="1" s="1"/>
  <c r="H84" i="1"/>
  <c r="AD82" i="1"/>
  <c r="N84" i="1"/>
  <c r="Q84" i="1" s="1"/>
  <c r="U84" i="1" s="1"/>
  <c r="G85" i="1"/>
  <c r="I85" i="1" s="1"/>
  <c r="J85" i="1" s="1"/>
  <c r="M85" i="1" s="1"/>
  <c r="AD83" i="1"/>
  <c r="C87" i="1"/>
  <c r="D87" i="1" s="1"/>
  <c r="F86" i="1"/>
  <c r="X64" i="1"/>
  <c r="AB63" i="1"/>
  <c r="O84" i="1" l="1"/>
  <c r="S84" i="1" s="1"/>
  <c r="G86" i="1"/>
  <c r="I86" i="1" s="1"/>
  <c r="J86" i="1" s="1"/>
  <c r="M86" i="1" s="1"/>
  <c r="N85" i="1"/>
  <c r="P85" i="1" s="1"/>
  <c r="T85" i="1" s="1"/>
  <c r="AD85" i="1" s="1"/>
  <c r="AI63" i="1"/>
  <c r="AH63" i="1"/>
  <c r="C88" i="1"/>
  <c r="D88" i="1" s="1"/>
  <c r="F87" i="1"/>
  <c r="Y64" i="1"/>
  <c r="R64" i="1"/>
  <c r="H85" i="1"/>
  <c r="P84" i="1"/>
  <c r="T84" i="1" s="1"/>
  <c r="Q85" i="1" l="1"/>
  <c r="U85" i="1" s="1"/>
  <c r="AK63" i="1"/>
  <c r="AL63" i="1" s="1"/>
  <c r="AM63" i="1" s="1"/>
  <c r="V64" i="1"/>
  <c r="Z64" i="1" s="1"/>
  <c r="AF64" i="1"/>
  <c r="AG64" i="1" s="1"/>
  <c r="G87" i="1"/>
  <c r="I87" i="1" s="1"/>
  <c r="J87" i="1" s="1"/>
  <c r="M87" i="1" s="1"/>
  <c r="F88" i="1"/>
  <c r="C89" i="1"/>
  <c r="D89" i="1" s="1"/>
  <c r="N86" i="1"/>
  <c r="Q86" i="1" s="1"/>
  <c r="U86" i="1" s="1"/>
  <c r="AD84" i="1"/>
  <c r="O85" i="1"/>
  <c r="S85" i="1" s="1"/>
  <c r="H86" i="1"/>
  <c r="N87" i="1" l="1"/>
  <c r="Q87" i="1" s="1"/>
  <c r="U87" i="1" s="1"/>
  <c r="O86" i="1"/>
  <c r="S86" i="1" s="1"/>
  <c r="P86" i="1"/>
  <c r="T86" i="1" s="1"/>
  <c r="F89" i="1"/>
  <c r="C90" i="1"/>
  <c r="D90" i="1" s="1"/>
  <c r="G88" i="1"/>
  <c r="I88" i="1" s="1"/>
  <c r="J88" i="1" s="1"/>
  <c r="M88" i="1" s="1"/>
  <c r="H87" i="1"/>
  <c r="X65" i="1"/>
  <c r="AB64" i="1"/>
  <c r="N88" i="1" l="1"/>
  <c r="Q88" i="1" s="1"/>
  <c r="U88" i="1" s="1"/>
  <c r="AD86" i="1"/>
  <c r="AH64" i="1"/>
  <c r="AI64" i="1"/>
  <c r="R65" i="1"/>
  <c r="Y65" i="1"/>
  <c r="H88" i="1"/>
  <c r="F90" i="1"/>
  <c r="C91" i="1"/>
  <c r="D91" i="1" s="1"/>
  <c r="F91" i="1" s="1"/>
  <c r="G89" i="1"/>
  <c r="I89" i="1" s="1"/>
  <c r="J89" i="1" s="1"/>
  <c r="M89" i="1" s="1"/>
  <c r="O87" i="1"/>
  <c r="S87" i="1" s="1"/>
  <c r="P87" i="1"/>
  <c r="T87" i="1" s="1"/>
  <c r="AD87" i="1" s="1"/>
  <c r="G91" i="1" l="1"/>
  <c r="I91" i="1" s="1"/>
  <c r="J91" i="1" s="1"/>
  <c r="M91" i="1" s="1"/>
  <c r="N89" i="1"/>
  <c r="Q89" i="1"/>
  <c r="U89" i="1" s="1"/>
  <c r="P89" i="1"/>
  <c r="T89" i="1" s="1"/>
  <c r="AD89" i="1" s="1"/>
  <c r="O89" i="1"/>
  <c r="S89" i="1" s="1"/>
  <c r="G90" i="1"/>
  <c r="I90" i="1" s="1"/>
  <c r="J90" i="1" s="1"/>
  <c r="M90" i="1" s="1"/>
  <c r="N90" i="1" s="1"/>
  <c r="AF65" i="1"/>
  <c r="AG65" i="1" s="1"/>
  <c r="V65" i="1"/>
  <c r="Z65" i="1" s="1"/>
  <c r="O88" i="1"/>
  <c r="S88" i="1" s="1"/>
  <c r="H89" i="1"/>
  <c r="AK64" i="1"/>
  <c r="AL64" i="1" s="1"/>
  <c r="AM64" i="1" s="1"/>
  <c r="P88" i="1"/>
  <c r="T88" i="1" s="1"/>
  <c r="AD88" i="1" s="1"/>
  <c r="X66" i="1" l="1"/>
  <c r="AB65" i="1"/>
  <c r="P90" i="1"/>
  <c r="T90" i="1" s="1"/>
  <c r="AD90" i="1" s="1"/>
  <c r="N91" i="1"/>
  <c r="Q91" i="1" s="1"/>
  <c r="U91" i="1" s="1"/>
  <c r="H90" i="1"/>
  <c r="H91" i="1"/>
  <c r="AB97" i="1" s="1"/>
  <c r="P91" i="1" l="1"/>
  <c r="T91" i="1" s="1"/>
  <c r="G97" i="1" s="1"/>
  <c r="O91" i="1"/>
  <c r="S91" i="1" s="1"/>
  <c r="Q90" i="1"/>
  <c r="U90" i="1" s="1"/>
  <c r="I97" i="1" s="1"/>
  <c r="W97" i="1" s="1"/>
  <c r="O90" i="1"/>
  <c r="S90" i="1" s="1"/>
  <c r="AH65" i="1"/>
  <c r="AI65" i="1"/>
  <c r="Y66" i="1"/>
  <c r="R66" i="1"/>
  <c r="AD91" i="1" l="1"/>
  <c r="P97" i="1" s="1"/>
  <c r="U97" i="1" s="1"/>
  <c r="F97" i="1"/>
  <c r="T97" i="1" s="1"/>
  <c r="V66" i="1"/>
  <c r="Z66" i="1" s="1"/>
  <c r="AF66" i="1"/>
  <c r="AG66" i="1" s="1"/>
  <c r="AK65" i="1"/>
  <c r="AL65" i="1" s="1"/>
  <c r="AM65" i="1" s="1"/>
  <c r="X67" i="1" l="1"/>
  <c r="AB66" i="1"/>
  <c r="AI66" i="1" l="1"/>
  <c r="AH66" i="1"/>
  <c r="R67" i="1"/>
  <c r="Y67" i="1"/>
  <c r="AK66" i="1" l="1"/>
  <c r="AL66" i="1" s="1"/>
  <c r="AM66" i="1" s="1"/>
  <c r="V67" i="1"/>
  <c r="E95" i="1" s="1"/>
  <c r="AF67" i="1"/>
  <c r="H95" i="1"/>
  <c r="AG67" i="1" l="1"/>
  <c r="Q95" i="1"/>
  <c r="V95" i="1" s="1"/>
  <c r="M95" i="1"/>
  <c r="L95" i="1"/>
  <c r="K95" i="1"/>
  <c r="J95" i="1"/>
  <c r="Z67" i="1"/>
  <c r="X68" i="1" l="1"/>
  <c r="B95" i="1"/>
  <c r="AB67" i="1"/>
  <c r="N95" i="1"/>
  <c r="S95" i="1" s="1"/>
  <c r="Z95" i="1" s="1"/>
  <c r="C95" i="1" l="1"/>
  <c r="D95" i="1" s="1"/>
  <c r="AI67" i="1"/>
  <c r="AH67" i="1"/>
  <c r="AK67" i="1" s="1"/>
  <c r="AL67" i="1" s="1"/>
  <c r="AM67" i="1" s="1"/>
  <c r="R68" i="1"/>
  <c r="Y68" i="1"/>
  <c r="AA95" i="1" l="1"/>
  <c r="V68" i="1"/>
  <c r="AF68" i="1"/>
  <c r="AG68" i="1" l="1"/>
  <c r="Z68" i="1"/>
  <c r="X69" i="1" l="1"/>
  <c r="AB68" i="1"/>
  <c r="AH68" i="1" l="1"/>
  <c r="AI68" i="1"/>
  <c r="Y69" i="1"/>
  <c r="R69" i="1"/>
  <c r="V69" i="1" l="1"/>
  <c r="AF69" i="1"/>
  <c r="AK68" i="1"/>
  <c r="AL68" i="1" s="1"/>
  <c r="AM68" i="1" s="1"/>
  <c r="AG69" i="1" l="1"/>
  <c r="Z69" i="1"/>
  <c r="X70" i="1" l="1"/>
  <c r="AB69" i="1"/>
  <c r="AI69" i="1" l="1"/>
  <c r="AH69" i="1"/>
  <c r="AK69" i="1" s="1"/>
  <c r="AL69" i="1" s="1"/>
  <c r="AM69" i="1" s="1"/>
  <c r="Y70" i="1"/>
  <c r="R70" i="1"/>
  <c r="V70" i="1" l="1"/>
  <c r="AF70" i="1"/>
  <c r="AG70" i="1" l="1"/>
  <c r="Z70" i="1"/>
  <c r="AB70" i="1" l="1"/>
  <c r="X71" i="1"/>
  <c r="Y71" i="1" l="1"/>
  <c r="R71" i="1"/>
  <c r="AI70" i="1"/>
  <c r="AH70" i="1"/>
  <c r="AK70" i="1" s="1"/>
  <c r="AL70" i="1" s="1"/>
  <c r="AM70" i="1" s="1"/>
  <c r="V71" i="1" l="1"/>
  <c r="Z71" i="1" s="1"/>
  <c r="AF71" i="1"/>
  <c r="AB71" i="1" l="1"/>
  <c r="X72" i="1"/>
  <c r="AG71" i="1"/>
  <c r="Y72" i="1" l="1"/>
  <c r="R72" i="1"/>
  <c r="AI71" i="1"/>
  <c r="AH71" i="1"/>
  <c r="AK71" i="1" s="1"/>
  <c r="AL71" i="1" s="1"/>
  <c r="AM71" i="1" s="1"/>
  <c r="V72" i="1" l="1"/>
  <c r="Z72" i="1" s="1"/>
  <c r="AF72" i="1"/>
  <c r="AB72" i="1" l="1"/>
  <c r="X73" i="1"/>
  <c r="AG72" i="1"/>
  <c r="AI72" i="1" l="1"/>
  <c r="AH72" i="1"/>
  <c r="Y73" i="1"/>
  <c r="R73" i="1"/>
  <c r="AK72" i="1" l="1"/>
  <c r="AL72" i="1" s="1"/>
  <c r="AM72" i="1" s="1"/>
  <c r="AF73" i="1"/>
  <c r="AG73" i="1" s="1"/>
  <c r="V73" i="1"/>
  <c r="Z73" i="1" s="1"/>
  <c r="X74" i="1" l="1"/>
  <c r="AB73" i="1"/>
  <c r="AI73" i="1" l="1"/>
  <c r="AH73" i="1"/>
  <c r="AK73" i="1" s="1"/>
  <c r="AL73" i="1" s="1"/>
  <c r="AM73" i="1" s="1"/>
  <c r="Y74" i="1"/>
  <c r="R74" i="1"/>
  <c r="V74" i="1" l="1"/>
  <c r="Z74" i="1" s="1"/>
  <c r="AF74" i="1"/>
  <c r="AG74" i="1" s="1"/>
  <c r="X75" i="1" l="1"/>
  <c r="AB74" i="1"/>
  <c r="AI74" i="1" l="1"/>
  <c r="AH74" i="1"/>
  <c r="AK74" i="1" s="1"/>
  <c r="AL74" i="1" s="1"/>
  <c r="AM74" i="1" s="1"/>
  <c r="R75" i="1"/>
  <c r="Y75" i="1"/>
  <c r="V75" i="1" l="1"/>
  <c r="Z75" i="1" s="1"/>
  <c r="AF75" i="1"/>
  <c r="AG75" i="1" s="1"/>
  <c r="AB75" i="1" l="1"/>
  <c r="X76" i="1"/>
  <c r="R76" i="1" l="1"/>
  <c r="Y76" i="1"/>
  <c r="AH75" i="1"/>
  <c r="AI75" i="1"/>
  <c r="AK75" i="1" l="1"/>
  <c r="AL75" i="1" s="1"/>
  <c r="AM75" i="1" s="1"/>
  <c r="AF76" i="1"/>
  <c r="AG76" i="1" s="1"/>
  <c r="V76" i="1"/>
  <c r="Z76" i="1" s="1"/>
  <c r="AB76" i="1" l="1"/>
  <c r="X77" i="1"/>
  <c r="Y77" i="1" l="1"/>
  <c r="R77" i="1"/>
  <c r="AI76" i="1"/>
  <c r="AH76" i="1"/>
  <c r="AK76" i="1" s="1"/>
  <c r="AL76" i="1" s="1"/>
  <c r="AM76" i="1" s="1"/>
  <c r="AF77" i="1" l="1"/>
  <c r="AG77" i="1" s="1"/>
  <c r="V77" i="1"/>
  <c r="Z77" i="1" s="1"/>
  <c r="AB77" i="1" l="1"/>
  <c r="X78" i="1"/>
  <c r="Y78" i="1" l="1"/>
  <c r="R78" i="1"/>
  <c r="AI77" i="1"/>
  <c r="AH77" i="1"/>
  <c r="AK77" i="1" l="1"/>
  <c r="AL77" i="1" s="1"/>
  <c r="AM77" i="1" s="1"/>
  <c r="AF78" i="1"/>
  <c r="AG78" i="1" s="1"/>
  <c r="V78" i="1"/>
  <c r="Z78" i="1" s="1"/>
  <c r="AB78" i="1" l="1"/>
  <c r="X79" i="1"/>
  <c r="Y79" i="1" l="1"/>
  <c r="R79" i="1"/>
  <c r="AI78" i="1"/>
  <c r="AH78" i="1"/>
  <c r="AK78" i="1" l="1"/>
  <c r="AL78" i="1" s="1"/>
  <c r="AM78" i="1" s="1"/>
  <c r="AF79" i="1"/>
  <c r="V79" i="1"/>
  <c r="E96" i="1" s="1"/>
  <c r="H96" i="1"/>
  <c r="AG79" i="1" l="1"/>
  <c r="Q96" i="1"/>
  <c r="V96" i="1" s="1"/>
  <c r="K96" i="1"/>
  <c r="M96" i="1"/>
  <c r="L96" i="1"/>
  <c r="J96" i="1"/>
  <c r="Z79" i="1"/>
  <c r="N96" i="1" l="1"/>
  <c r="S96" i="1" s="1"/>
  <c r="Z96" i="1" s="1"/>
  <c r="X80" i="1"/>
  <c r="AB79" i="1"/>
  <c r="B96" i="1"/>
  <c r="C96" i="1" l="1"/>
  <c r="D96" i="1" s="1"/>
  <c r="AI79" i="1"/>
  <c r="AH79" i="1"/>
  <c r="AK79" i="1" s="1"/>
  <c r="AL79" i="1" s="1"/>
  <c r="AM79" i="1" s="1"/>
  <c r="Y80" i="1"/>
  <c r="R80" i="1"/>
  <c r="AA96" i="1" l="1"/>
  <c r="AF80" i="1"/>
  <c r="V80" i="1"/>
  <c r="AG80" i="1" l="1"/>
  <c r="Z80" i="1"/>
  <c r="AB80" i="1" l="1"/>
  <c r="X81" i="1"/>
  <c r="Y81" i="1" l="1"/>
  <c r="R81" i="1"/>
  <c r="AH80" i="1"/>
  <c r="AI80" i="1"/>
  <c r="AK80" i="1" l="1"/>
  <c r="AL80" i="1" s="1"/>
  <c r="AM80" i="1" s="1"/>
  <c r="AF81" i="1"/>
  <c r="V81" i="1"/>
  <c r="AG81" i="1" l="1"/>
  <c r="Z81" i="1"/>
  <c r="X82" i="1" l="1"/>
  <c r="AB81" i="1"/>
  <c r="AI81" i="1" l="1"/>
  <c r="AH81" i="1"/>
  <c r="Y82" i="1"/>
  <c r="R82" i="1"/>
  <c r="AK81" i="1" l="1"/>
  <c r="AL81" i="1" s="1"/>
  <c r="AM81" i="1" s="1"/>
  <c r="AF82" i="1"/>
  <c r="V82" i="1"/>
  <c r="AG82" i="1" l="1"/>
  <c r="Z82" i="1"/>
  <c r="X83" i="1" l="1"/>
  <c r="AB82" i="1"/>
  <c r="AI82" i="1" l="1"/>
  <c r="AH82" i="1"/>
  <c r="AK82" i="1" s="1"/>
  <c r="AL82" i="1" s="1"/>
  <c r="AM82" i="1" s="1"/>
  <c r="Y83" i="1"/>
  <c r="R83" i="1"/>
  <c r="V83" i="1" l="1"/>
  <c r="Z83" i="1" s="1"/>
  <c r="AF83" i="1"/>
  <c r="AG83" i="1" l="1"/>
  <c r="AB83" i="1"/>
  <c r="X84" i="1"/>
  <c r="R84" i="1" l="1"/>
  <c r="Y84" i="1"/>
  <c r="AI83" i="1"/>
  <c r="AH83" i="1"/>
  <c r="AK83" i="1" s="1"/>
  <c r="AL83" i="1" s="1"/>
  <c r="AM83" i="1" s="1"/>
  <c r="AF84" i="1" l="1"/>
  <c r="V84" i="1"/>
  <c r="Z84" i="1" s="1"/>
  <c r="X85" i="1" l="1"/>
  <c r="AB84" i="1"/>
  <c r="AG84" i="1"/>
  <c r="AH84" i="1" l="1"/>
  <c r="AI84" i="1"/>
  <c r="Y85" i="1"/>
  <c r="R85" i="1"/>
  <c r="AK84" i="1" l="1"/>
  <c r="AL84" i="1" s="1"/>
  <c r="AM84" i="1" s="1"/>
  <c r="AF85" i="1"/>
  <c r="AG85" i="1" s="1"/>
  <c r="V85" i="1"/>
  <c r="Z85" i="1" s="1"/>
  <c r="AB85" i="1" l="1"/>
  <c r="AH85" i="1" s="1"/>
  <c r="X86" i="1"/>
  <c r="R86" i="1" l="1"/>
  <c r="Y86" i="1"/>
  <c r="AI85" i="1"/>
  <c r="AK85" i="1" s="1"/>
  <c r="AL85" i="1" s="1"/>
  <c r="AM85" i="1" s="1"/>
  <c r="AF86" i="1" l="1"/>
  <c r="AG86" i="1" s="1"/>
  <c r="V86" i="1"/>
  <c r="Z86" i="1" s="1"/>
  <c r="AB86" i="1" l="1"/>
  <c r="X87" i="1"/>
  <c r="Y87" i="1" l="1"/>
  <c r="R87" i="1"/>
  <c r="AI86" i="1"/>
  <c r="AH86" i="1"/>
  <c r="AK86" i="1" s="1"/>
  <c r="AL86" i="1" s="1"/>
  <c r="AM86" i="1" s="1"/>
  <c r="AF87" i="1" l="1"/>
  <c r="AG87" i="1" s="1"/>
  <c r="V87" i="1"/>
  <c r="Z87" i="1" s="1"/>
  <c r="AB87" i="1" l="1"/>
  <c r="X88" i="1"/>
  <c r="Y88" i="1" l="1"/>
  <c r="R88" i="1"/>
  <c r="AI87" i="1"/>
  <c r="AH87" i="1"/>
  <c r="AK87" i="1" s="1"/>
  <c r="AL87" i="1" s="1"/>
  <c r="AM87" i="1" s="1"/>
  <c r="AF88" i="1" l="1"/>
  <c r="AG88" i="1" s="1"/>
  <c r="V88" i="1"/>
  <c r="Z88" i="1" s="1"/>
  <c r="AB88" i="1" l="1"/>
  <c r="X89" i="1"/>
  <c r="R89" i="1" l="1"/>
  <c r="Y89" i="1"/>
  <c r="AH88" i="1"/>
  <c r="AI88" i="1"/>
  <c r="AK88" i="1" l="1"/>
  <c r="AL88" i="1" s="1"/>
  <c r="AM88" i="1" s="1"/>
  <c r="AF89" i="1"/>
  <c r="AG89" i="1" s="1"/>
  <c r="V89" i="1"/>
  <c r="Z89" i="1" s="1"/>
  <c r="X90" i="1" l="1"/>
  <c r="AB89" i="1"/>
  <c r="AH89" i="1" l="1"/>
  <c r="AI89" i="1"/>
  <c r="Y90" i="1"/>
  <c r="R90" i="1"/>
  <c r="AF90" i="1" l="1"/>
  <c r="AG90" i="1" s="1"/>
  <c r="V90" i="1"/>
  <c r="Z90" i="1" s="1"/>
  <c r="AK89" i="1"/>
  <c r="AL89" i="1" s="1"/>
  <c r="AM89" i="1" s="1"/>
  <c r="X91" i="1" l="1"/>
  <c r="R91" i="1" s="1"/>
  <c r="AB90" i="1"/>
  <c r="AH90" i="1" l="1"/>
  <c r="AI90" i="1"/>
  <c r="Y91" i="1"/>
  <c r="V91" i="1" l="1"/>
  <c r="E97" i="1" s="1"/>
  <c r="AF91" i="1"/>
  <c r="H97" i="1"/>
  <c r="AK90" i="1"/>
  <c r="AL90" i="1" s="1"/>
  <c r="AM90" i="1" s="1"/>
  <c r="AG91" i="1" l="1"/>
  <c r="Q97" i="1"/>
  <c r="V97" i="1"/>
  <c r="M97" i="1"/>
  <c r="L97" i="1"/>
  <c r="K97" i="1"/>
  <c r="J97" i="1"/>
  <c r="Z91" i="1"/>
  <c r="B97" i="1" l="1"/>
  <c r="AB91" i="1"/>
  <c r="N97" i="1"/>
  <c r="S97" i="1" s="1"/>
  <c r="Z97" i="1" s="1"/>
  <c r="AH91" i="1" l="1"/>
  <c r="AI91" i="1"/>
  <c r="C97" i="1"/>
  <c r="D97" i="1" s="1"/>
  <c r="AK91" i="1" l="1"/>
  <c r="AL91" i="1" s="1"/>
  <c r="AM91" i="1" s="1"/>
  <c r="AA97" i="1" s="1"/>
</calcChain>
</file>

<file path=xl/sharedStrings.xml><?xml version="1.0" encoding="utf-8"?>
<sst xmlns="http://schemas.openxmlformats.org/spreadsheetml/2006/main" count="255" uniqueCount="195">
  <si>
    <t>AI Finance Platform - Financial Model v7 (Channel-based, Organic Social, Referral)</t>
  </si>
  <si>
    <t>Category</t>
  </si>
  <si>
    <t>Parameter</t>
  </si>
  <si>
    <t>Value</t>
  </si>
  <si>
    <t>Unit</t>
  </si>
  <si>
    <t>Notes</t>
  </si>
  <si>
    <t>Revenue</t>
  </si>
  <si>
    <t>ARPU</t>
  </si>
  <si>
    <t>EUR / month / user</t>
  </si>
  <si>
    <t>Average price across tiers; adjustable.</t>
  </si>
  <si>
    <t>GrossMargin</t>
  </si>
  <si>
    <t>Typical SaaS gross margin 70–90%.</t>
  </si>
  <si>
    <t>Conversion</t>
  </si>
  <si>
    <t>ConvVS</t>
  </si>
  <si>
    <t>ratio</t>
  </si>
  <si>
    <t>ConvSP</t>
  </si>
  <si>
    <t>Social</t>
  </si>
  <si>
    <t>Followers_0</t>
  </si>
  <si>
    <t>followers</t>
  </si>
  <si>
    <t>Initial followers on main profile.</t>
  </si>
  <si>
    <t>Follower_Monthly_Growth</t>
  </si>
  <si>
    <t>Monthly follower growth. Small business accounts ~0.7–3.3%/month; default 3%.</t>
  </si>
  <si>
    <t>Posts_per_Month_Y1</t>
  </si>
  <si>
    <t>posts / month</t>
  </si>
  <si>
    <t>Posts_per_Month_Y2</t>
  </si>
  <si>
    <t>Posts per month year 2.</t>
  </si>
  <si>
    <t>Posts_per_Month_Y3</t>
  </si>
  <si>
    <t>Posts per month year 3.</t>
  </si>
  <si>
    <t>Reach_per_Post</t>
  </si>
  <si>
    <t>Average organic reach per post as % of followers (IG ~3.5–7.6%).</t>
  </si>
  <si>
    <t>NonFollower_Reach_Multiplier</t>
  </si>
  <si>
    <t>Extra reach to non-followers as fraction of follower impressions.</t>
  </si>
  <si>
    <t>Frequency_Impressions_per_User</t>
  </si>
  <si>
    <t>impressions / user</t>
  </si>
  <si>
    <t>Average times a non-follower sees your content.</t>
  </si>
  <si>
    <t>Organic_CTR_to_Site</t>
  </si>
  <si>
    <t>Click-through from organic impressions to website (~1–3%).</t>
  </si>
  <si>
    <t>Retention</t>
  </si>
  <si>
    <t>ChurnY1</t>
  </si>
  <si>
    <t>monthly</t>
  </si>
  <si>
    <t>Monthly churn 6% year 1.</t>
  </si>
  <si>
    <t>ChurnY2</t>
  </si>
  <si>
    <t>Monthly churn 5.5% year 2.</t>
  </si>
  <si>
    <t>ChurnY3</t>
  </si>
  <si>
    <t>Monthly churn 5% year 3.</t>
  </si>
  <si>
    <t>Influencer</t>
  </si>
  <si>
    <t>Inf_Avg_Followers</t>
  </si>
  <si>
    <t>Average followers per micro-influencer.</t>
  </si>
  <si>
    <t>Inf_Reach_Rate</t>
  </si>
  <si>
    <t>Share of followers reached per collab (~30%).</t>
  </si>
  <si>
    <t>Inf_Click_Rate</t>
  </si>
  <si>
    <t>CTR on influencer link (~2%).</t>
  </si>
  <si>
    <t>Inf_Visitors_per_Collab</t>
  </si>
  <si>
    <t>visits / collab</t>
  </si>
  <si>
    <t>Derived: Followers * Reach * Click rate.</t>
  </si>
  <si>
    <t>Inf_Collabs_Y1</t>
  </si>
  <si>
    <t>collab / month</t>
  </si>
  <si>
    <t>Influencer collaborations per month year 1.</t>
  </si>
  <si>
    <t>Inf_Collabs_Y2</t>
  </si>
  <si>
    <t>Influencer collaborations per month year 2.</t>
  </si>
  <si>
    <t>Inf_Collabs_Y3</t>
  </si>
  <si>
    <t>Influencer collaborations per month year 3.</t>
  </si>
  <si>
    <t>Referral</t>
  </si>
  <si>
    <t>Referral_Monthly_Rate</t>
  </si>
  <si>
    <t>per user / month</t>
  </si>
  <si>
    <t>Approx new referred customers per active user per month (global avg referral share ≈2.35% of sales).</t>
  </si>
  <si>
    <t>Referral_Reward_per_Sub</t>
  </si>
  <si>
    <t>EUR / referred user</t>
  </si>
  <si>
    <t>Reward/discount value per referred customer.</t>
  </si>
  <si>
    <t>Marketing</t>
  </si>
  <si>
    <t>Org_Cost_per_Post</t>
  </si>
  <si>
    <t>EUR / post</t>
  </si>
  <si>
    <t>Content/production cost per organic post.</t>
  </si>
  <si>
    <t>Influencer_Reward_per_Sub</t>
  </si>
  <si>
    <t>EUR / new user</t>
  </si>
  <si>
    <t>Payout per subscription via micro-influencer.</t>
  </si>
  <si>
    <t>Other_Marketing_Budget_Y1</t>
  </si>
  <si>
    <t>EUR / month</t>
  </si>
  <si>
    <t>Budget for other channels (SEO, communities, PR) year 1.</t>
  </si>
  <si>
    <t>Other_Marketing_Budget_Y2</t>
  </si>
  <si>
    <t>Budget for other channels year 2.</t>
  </si>
  <si>
    <t>Other_Marketing_Budget_Y3</t>
  </si>
  <si>
    <t>Budget for other channels year 3.</t>
  </si>
  <si>
    <t>Costs</t>
  </si>
  <si>
    <t>BaseFixedCost</t>
  </si>
  <si>
    <t>Base fixed costs (server, tools, minimal salary).</t>
  </si>
  <si>
    <t>DataSub_Fee</t>
  </si>
  <si>
    <t>Premium data subscription cost when MRR &gt;= threshold.</t>
  </si>
  <si>
    <t>DataSub_MRR_Threshold</t>
  </si>
  <si>
    <t>EUR MRR</t>
  </si>
  <si>
    <t>MRR threshold to activate data subscription.</t>
  </si>
  <si>
    <t>XAPI_Fee</t>
  </si>
  <si>
    <t>X/Twitter API Pro-like tier when MRR &gt;= threshold.</t>
  </si>
  <si>
    <t>XAPI_MRR_Threshold</t>
  </si>
  <si>
    <t>MRR threshold to activate X API.</t>
  </si>
  <si>
    <t>Broker</t>
  </si>
  <si>
    <t>Broker_MinCapital_Low</t>
  </si>
  <si>
    <t>EUR</t>
  </si>
  <si>
    <t>Lower bound capital requirement (light services).</t>
  </si>
  <si>
    <t>Broker_MinCapital_High</t>
  </si>
  <si>
    <t>Higher capital requirement (dealing, underwriting).</t>
  </si>
  <si>
    <t>Broker_TargetCapital</t>
  </si>
  <si>
    <t>Target capital (regulatory + ~1 year runway).</t>
  </si>
  <si>
    <t>Year</t>
  </si>
  <si>
    <t>Month</t>
  </si>
  <si>
    <t>Followers_Start</t>
  </si>
  <si>
    <t>Followers_End</t>
  </si>
  <si>
    <t>Posts</t>
  </si>
  <si>
    <t>Impr_Followers</t>
  </si>
  <si>
    <t>Impr_NonFollowers</t>
  </si>
  <si>
    <t>Social_Views</t>
  </si>
  <si>
    <t>NewUnique_NonFollowers</t>
  </si>
  <si>
    <t>Org_Visitors</t>
  </si>
  <si>
    <t>Inf_Visitors</t>
  </si>
  <si>
    <t>Other_Visitors</t>
  </si>
  <si>
    <t>Visitors_Total</t>
  </si>
  <si>
    <t>Signups</t>
  </si>
  <si>
    <t>Org_Signups</t>
  </si>
  <si>
    <t>Inf_Signups</t>
  </si>
  <si>
    <t>Other_Signups</t>
  </si>
  <si>
    <t>Referral_New_Payers</t>
  </si>
  <si>
    <t>Org_New_Payers</t>
  </si>
  <si>
    <t>Inf_New_Payers</t>
  </si>
  <si>
    <t>Other_New_Payers</t>
  </si>
  <si>
    <t>New_Paying_Users</t>
  </si>
  <si>
    <t>Churn_Rate</t>
  </si>
  <si>
    <t>Paying_Users_Start</t>
  </si>
  <si>
    <t>Churned_Users</t>
  </si>
  <si>
    <t>Paying_Users_End</t>
  </si>
  <si>
    <t>MRR</t>
  </si>
  <si>
    <t>Org_Marketing_Spend</t>
  </si>
  <si>
    <t>Inf_Marketing_Spend</t>
  </si>
  <si>
    <t>Other_Marketing_Spend</t>
  </si>
  <si>
    <t>Referral_Marketing_Spend</t>
  </si>
  <si>
    <t>Total_Marketing_Spend</t>
  </si>
  <si>
    <t>DataSub_Cost</t>
  </si>
  <si>
    <t>XAPI_Cost</t>
  </si>
  <si>
    <t>Base_Fixed_Cost</t>
  </si>
  <si>
    <t>Total_Costs</t>
  </si>
  <si>
    <t>Net_Cash_Flow</t>
  </si>
  <si>
    <t>Cumulative_Cash</t>
  </si>
  <si>
    <t>End_Paying_Users</t>
  </si>
  <si>
    <t>End_MRR_EUR</t>
  </si>
  <si>
    <t>ARR_EUR</t>
  </si>
  <si>
    <t>Total_New_Customers</t>
  </si>
  <si>
    <t>New_Customers_Org</t>
  </si>
  <si>
    <t>New_Customers_Inf</t>
  </si>
  <si>
    <t>New_Customers_Referral</t>
  </si>
  <si>
    <t>New_Customers_Other</t>
  </si>
  <si>
    <t>Share_Org</t>
  </si>
  <si>
    <t>Share_Inf</t>
  </si>
  <si>
    <t>Share_Referral</t>
  </si>
  <si>
    <t>Share_Other</t>
  </si>
  <si>
    <t>Total_Marketing_Spend_EUR</t>
  </si>
  <si>
    <t>Org_Marketing_Spend_EUR</t>
  </si>
  <si>
    <t>Inf_Marketing_Spend_EUR</t>
  </si>
  <si>
    <t>Referral_Marketing_Spend_EUR</t>
  </si>
  <si>
    <t>Other_Marketing_Spend_EUR</t>
  </si>
  <si>
    <t>CAC_Overall_EUR</t>
  </si>
  <si>
    <t>CAC_Org_EUR</t>
  </si>
  <si>
    <t>CAC_Inf_EUR</t>
  </si>
  <si>
    <t>CAC_Referral_EUR</t>
  </si>
  <si>
    <t>CAC_Other_EUR</t>
  </si>
  <si>
    <t>Assumed_Monthly_Churn</t>
  </si>
  <si>
    <t>LTV_EUR</t>
  </si>
  <si>
    <t>LTV_CAC_Ratio_Overall</t>
  </si>
  <si>
    <t>Cumulative_Cash_EndOfYear</t>
  </si>
  <si>
    <t>Total_Social_Views</t>
  </si>
  <si>
    <r>
      <t>Freemium (fintech):</t>
    </r>
    <r>
      <rPr>
        <sz val="11"/>
        <color theme="1"/>
        <rFont val="Calibri"/>
        <family val="2"/>
        <scheme val="minor"/>
      </rPr>
      <t xml:space="preserve"> FirstPageSage 2024: Visitor→Freemium 13,5%, Freemium→Paid 3,7% per Financial/Fintech.</t>
    </r>
  </si>
  <si>
    <r>
      <t>Referral rate globale 2,35%:</t>
    </r>
    <r>
      <rPr>
        <sz val="11"/>
        <color theme="1"/>
        <rFont val="Calibri"/>
        <family val="2"/>
        <scheme val="minor"/>
      </rPr>
      <t xml:space="preserve"> ReferralCandy, ReferralRock, Prefinery, SocialSnowball, Tremendous, ecc. confermano ≈2,35% come media globale.</t>
    </r>
  </si>
  <si>
    <r>
      <t>Follower growth IG business:</t>
    </r>
    <r>
      <rPr>
        <sz val="11"/>
        <color theme="1"/>
        <rFont val="Calibri"/>
        <family val="2"/>
        <scheme val="minor"/>
      </rPr>
      <t xml:space="preserve"> BusinessDasher 2024: IG business accounts ≈1,46% crescita follower mensile; SQMagazine 2025: business accounts +12% YoY.</t>
    </r>
  </si>
  <si>
    <r>
      <t>Reach per post IG:</t>
    </r>
    <r>
      <rPr>
        <sz val="11"/>
        <color theme="1"/>
        <rFont val="Calibri"/>
        <family val="2"/>
        <scheme val="minor"/>
      </rPr>
      <t xml:space="preserve"> SocialInsider 2025 + RivalIQ 2024/25: reach post tipica ~3–8% dei follower a seconda delle dimensioni dell’account.</t>
    </r>
  </si>
  <si>
    <r>
      <t>Cost per follower IG ads:</t>
    </r>
    <r>
      <rPr>
        <sz val="11"/>
        <color theme="1"/>
        <rFont val="Calibri"/>
        <family val="2"/>
        <scheme val="minor"/>
      </rPr>
      <t xml:space="preserve"> Socialwick 2024: CPF medio ≈0,33 $/follower; inBeat 2024: CPM IG ≈2,5–3,5 $.</t>
    </r>
  </si>
  <si>
    <r>
      <t>CTR Meta (FB+IG):</t>
    </r>
    <r>
      <rPr>
        <sz val="11"/>
        <color theme="1"/>
        <rFont val="Calibri"/>
        <family val="2"/>
        <scheme val="minor"/>
      </rPr>
      <t xml:space="preserve"> diversi report 2024–2025 (FlyingVGroup, Enhencer, WordStream, Billo) indicano ~0,9–1,6% di CTR medio; 1,2% è al centro.</t>
    </r>
  </si>
  <si>
    <r>
      <t>CPC Finance:</t>
    </r>
    <r>
      <rPr>
        <sz val="11"/>
        <color theme="1"/>
        <rFont val="Calibri"/>
        <family val="2"/>
        <scheme val="minor"/>
      </rPr>
      <t xml:space="preserve"> WordStream 2025: Finance &amp; Insurance ~3,77 $ CPC; altri report citano 3–4 $ e serie temporali ~1,6–2 $ a seconda dei dataset.</t>
    </r>
  </si>
  <si>
    <r>
      <t>Signup conversion 2–5%:</t>
    </r>
    <r>
      <rPr>
        <sz val="11"/>
        <color theme="1"/>
        <rFont val="Calibri"/>
        <family val="2"/>
        <scheme val="minor"/>
      </rPr>
      <t xml:space="preserve"> MetricHQ 2024 (sign-up rate 2–5% good), Unbounce 2024 (median 3,8% per SaaS).</t>
    </r>
  </si>
  <si>
    <r>
      <t>Trial→paid 18–25%:</t>
    </r>
    <r>
      <rPr>
        <sz val="11"/>
        <color theme="1"/>
        <rFont val="Calibri"/>
        <family val="2"/>
        <scheme val="minor"/>
      </rPr>
      <t xml:space="preserve"> FirstPageSage 2025 e vari report 2024–2025 su free trial conversion.</t>
    </r>
  </si>
  <si>
    <r>
      <t>Churn 3–7%/mese:</t>
    </r>
    <r>
      <rPr>
        <sz val="11"/>
        <color theme="1"/>
        <rFont val="Calibri"/>
        <family val="2"/>
        <scheme val="minor"/>
      </rPr>
      <t xml:space="preserve"> diversi studi su churn SaaS SMB/B2C.</t>
    </r>
  </si>
  <si>
    <r>
      <t>Gross margin 70–80%:</t>
    </r>
    <r>
      <rPr>
        <sz val="11"/>
        <color theme="1"/>
        <rFont val="Calibri"/>
        <family val="2"/>
        <scheme val="minor"/>
      </rPr>
      <t xml:space="preserve"> Stripe, CloudZero, Drivetrain, Software Equity 2024–2025 indicano 70–80% come range standard per SaaS.</t>
    </r>
  </si>
  <si>
    <t>Visitor→Signup (~5%). Typical SaaS landing conversion 2–5%. (Aggiornato parametri freemium fintech)</t>
  </si>
  <si>
    <t>Signup→Paid (~18%) for opt-in free trial. (Aggiornato parametri freemium fintech)</t>
  </si>
  <si>
    <t>Posts per month year 1</t>
  </si>
  <si>
    <t>SocialAds_Followers</t>
  </si>
  <si>
    <t>FollowerAds_CPM_EUR</t>
  </si>
  <si>
    <t>FollowerAds_Reach_to_Follower_Rate</t>
  </si>
  <si>
    <t>FollowerAds_Budget_Y1</t>
  </si>
  <si>
    <t>FollowerAds_Budget_Y2</t>
  </si>
  <si>
    <t>FollowerAds_Budget_Y3</t>
  </si>
  <si>
    <t>EUR/1000 impressions</t>
  </si>
  <si>
    <t>EUR/month</t>
  </si>
  <si>
    <t>IG ad CPM ≈2.5–3.5 $, follower campaigns un po’ più care. 7 €/1k come baseline conservativa.</t>
  </si>
  <si>
    <t>≈1% delle persone raggiunte diventano follower (range 0.5–2%).</t>
  </si>
  <si>
    <t>Budget mensile anno 1 per campagne follower (modificabile).</t>
  </si>
  <si>
    <t>Budget annuo 2 (modificabile).</t>
  </si>
  <si>
    <t>Budget annuo 3 (modificabile).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</si>
</sst>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#,##0.00\ &quot;€&quot;"/>
    <numFmt numFmtId="167" formatCode="#,##0\ &quot;€&quot;"/>
  </numFmts>
  <fonts count="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1" fontId="0" fillId="0" borderId="0" xfId="0" applyNumberFormat="1"/>
    <xf numFmtId="2" fontId="0" fillId="0" borderId="0" xfId="0" applyNumberFormat="1"/>
    <xf numFmtId="165" fontId="0" fillId="0" borderId="0" xfId="0" applyNumberFormat="1"/>
    <xf numFmtId="4" fontId="0" fillId="0" borderId="0" xfId="0" applyNumberFormat="1"/>
    <xf numFmtId="167" fontId="0" fillId="0" borderId="0" xfId="0" applyNumberFormat="1"/>
    <xf numFmtId="0" fontId="2" fillId="0" borderId="0" xfId="0" applyFont="1"/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97"/>
  <sheetViews>
    <sheetView tabSelected="1" zoomScaleNormal="100" workbookViewId="0">
      <selection activeCell="G57" sqref="G57"/>
    </sheetView>
  </sheetViews>
  <sheetFormatPr defaultRowHeight="15" x14ac:dyDescent="0.25"/>
  <cols>
    <col min="1" max="1" width="14.28515625" customWidth="1"/>
    <col min="2" max="2" width="33" customWidth="1"/>
    <col min="3" max="3" width="15" bestFit="1" customWidth="1"/>
    <col min="4" max="4" width="18.85546875" customWidth="1"/>
    <col min="5" max="6" width="21.28515625" customWidth="1"/>
    <col min="7" max="7" width="18.85546875" bestFit="1" customWidth="1"/>
    <col min="8" max="8" width="24.140625" customWidth="1"/>
    <col min="9" max="9" width="25.7109375" bestFit="1" customWidth="1"/>
    <col min="10" max="10" width="11.85546875" bestFit="1" customWidth="1"/>
    <col min="11" max="11" width="11.140625" bestFit="1" customWidth="1"/>
    <col min="12" max="12" width="14" bestFit="1" customWidth="1"/>
    <col min="13" max="13" width="13.28515625" bestFit="1" customWidth="1"/>
    <col min="14" max="14" width="28" customWidth="1"/>
    <col min="15" max="15" width="26.7109375" customWidth="1"/>
    <col min="16" max="16" width="11.28515625" bestFit="1" customWidth="1"/>
    <col min="17" max="17" width="14.140625" bestFit="1" customWidth="1"/>
    <col min="18" max="18" width="20.42578125" bestFit="1" customWidth="1"/>
    <col min="19" max="19" width="16.28515625" bestFit="1" customWidth="1"/>
    <col min="20" max="20" width="15.5703125" bestFit="1" customWidth="1"/>
    <col min="21" max="21" width="18.42578125" bestFit="1" customWidth="1"/>
    <col min="22" max="22" width="18.28515625" bestFit="1" customWidth="1"/>
    <col min="23" max="23" width="11.28515625" bestFit="1" customWidth="1"/>
    <col min="24" max="24" width="18.28515625" bestFit="1" customWidth="1"/>
    <col min="25" max="25" width="14.7109375" customWidth="1"/>
    <col min="26" max="26" width="17.42578125" bestFit="1" customWidth="1"/>
    <col min="27" max="27" width="7" bestFit="1" customWidth="1"/>
    <col min="28" max="28" width="15" customWidth="1"/>
    <col min="29" max="29" width="21.28515625" bestFit="1" customWidth="1"/>
    <col min="30" max="30" width="20.5703125" bestFit="1" customWidth="1"/>
    <col min="31" max="31" width="23.42578125" bestFit="1" customWidth="1"/>
    <col min="32" max="32" width="25.42578125" bestFit="1" customWidth="1"/>
    <col min="33" max="33" width="22.7109375" bestFit="1" customWidth="1"/>
    <col min="34" max="34" width="13.42578125" bestFit="1" customWidth="1"/>
    <col min="35" max="35" width="10.140625" bestFit="1" customWidth="1"/>
    <col min="36" max="36" width="16.140625" bestFit="1" customWidth="1"/>
    <col min="37" max="37" width="11.28515625" bestFit="1" customWidth="1"/>
    <col min="38" max="38" width="15" bestFit="1" customWidth="1"/>
    <col min="39" max="39" width="16.5703125" bestFit="1" customWidth="1"/>
  </cols>
  <sheetData>
    <row r="1" spans="1:12" ht="18.75" x14ac:dyDescent="0.3">
      <c r="A1" s="1" t="s">
        <v>0</v>
      </c>
    </row>
    <row r="3" spans="1:12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L3" s="8" t="s">
        <v>168</v>
      </c>
    </row>
    <row r="4" spans="1:12" x14ac:dyDescent="0.25">
      <c r="A4" t="s">
        <v>6</v>
      </c>
      <c r="B4" t="s">
        <v>7</v>
      </c>
      <c r="C4">
        <v>20</v>
      </c>
      <c r="D4" t="s">
        <v>8</v>
      </c>
      <c r="E4" t="s">
        <v>9</v>
      </c>
    </row>
    <row r="5" spans="1:12" x14ac:dyDescent="0.25">
      <c r="A5" t="s">
        <v>6</v>
      </c>
      <c r="B5" t="s">
        <v>10</v>
      </c>
      <c r="C5">
        <v>0.8</v>
      </c>
      <c r="E5" t="s">
        <v>11</v>
      </c>
      <c r="L5" s="8" t="s">
        <v>169</v>
      </c>
    </row>
    <row r="6" spans="1:12" x14ac:dyDescent="0.25">
      <c r="A6" t="s">
        <v>12</v>
      </c>
      <c r="B6" t="s">
        <v>13</v>
      </c>
      <c r="C6">
        <v>0.13</v>
      </c>
      <c r="D6" t="s">
        <v>14</v>
      </c>
      <c r="E6" t="s">
        <v>179</v>
      </c>
    </row>
    <row r="7" spans="1:12" x14ac:dyDescent="0.25">
      <c r="A7" t="s">
        <v>12</v>
      </c>
      <c r="B7" t="s">
        <v>15</v>
      </c>
      <c r="C7">
        <v>3.5000000000000003E-2</v>
      </c>
      <c r="D7" t="s">
        <v>14</v>
      </c>
      <c r="E7" t="s">
        <v>180</v>
      </c>
      <c r="L7" s="8" t="s">
        <v>170</v>
      </c>
    </row>
    <row r="8" spans="1:12" x14ac:dyDescent="0.25">
      <c r="A8" t="s">
        <v>16</v>
      </c>
      <c r="B8" t="s">
        <v>17</v>
      </c>
      <c r="C8">
        <v>1000</v>
      </c>
      <c r="D8" t="s">
        <v>18</v>
      </c>
      <c r="E8" t="s">
        <v>19</v>
      </c>
    </row>
    <row r="9" spans="1:12" x14ac:dyDescent="0.25">
      <c r="A9" t="s">
        <v>16</v>
      </c>
      <c r="B9" t="s">
        <v>20</v>
      </c>
      <c r="C9">
        <v>0.08</v>
      </c>
      <c r="D9" t="s">
        <v>14</v>
      </c>
      <c r="E9" t="s">
        <v>21</v>
      </c>
      <c r="L9" s="8" t="s">
        <v>171</v>
      </c>
    </row>
    <row r="10" spans="1:12" x14ac:dyDescent="0.25">
      <c r="A10" t="s">
        <v>16</v>
      </c>
      <c r="B10" t="s">
        <v>22</v>
      </c>
      <c r="C10">
        <v>120</v>
      </c>
      <c r="D10" t="s">
        <v>23</v>
      </c>
      <c r="E10" t="s">
        <v>181</v>
      </c>
    </row>
    <row r="11" spans="1:12" x14ac:dyDescent="0.25">
      <c r="A11" t="s">
        <v>16</v>
      </c>
      <c r="B11" t="s">
        <v>24</v>
      </c>
      <c r="C11">
        <v>120</v>
      </c>
      <c r="D11" t="s">
        <v>23</v>
      </c>
      <c r="E11" t="s">
        <v>25</v>
      </c>
      <c r="L11" s="8" t="s">
        <v>172</v>
      </c>
    </row>
    <row r="12" spans="1:12" x14ac:dyDescent="0.25">
      <c r="A12" t="s">
        <v>16</v>
      </c>
      <c r="B12" t="s">
        <v>26</v>
      </c>
      <c r="C12">
        <v>120</v>
      </c>
      <c r="D12" t="s">
        <v>23</v>
      </c>
      <c r="E12" t="s">
        <v>27</v>
      </c>
    </row>
    <row r="13" spans="1:12" x14ac:dyDescent="0.25">
      <c r="A13" t="s">
        <v>16</v>
      </c>
      <c r="B13" t="s">
        <v>28</v>
      </c>
      <c r="C13">
        <v>0.04</v>
      </c>
      <c r="D13" t="s">
        <v>14</v>
      </c>
      <c r="E13" t="s">
        <v>29</v>
      </c>
      <c r="L13" s="8" t="s">
        <v>173</v>
      </c>
    </row>
    <row r="14" spans="1:12" x14ac:dyDescent="0.25">
      <c r="A14" t="s">
        <v>16</v>
      </c>
      <c r="B14" t="s">
        <v>30</v>
      </c>
      <c r="C14">
        <v>0.5</v>
      </c>
      <c r="D14" t="s">
        <v>14</v>
      </c>
      <c r="E14" t="s">
        <v>31</v>
      </c>
    </row>
    <row r="15" spans="1:12" x14ac:dyDescent="0.25">
      <c r="A15" t="s">
        <v>16</v>
      </c>
      <c r="B15" t="s">
        <v>32</v>
      </c>
      <c r="C15">
        <v>1.5</v>
      </c>
      <c r="D15" t="s">
        <v>33</v>
      </c>
      <c r="E15" t="s">
        <v>34</v>
      </c>
      <c r="L15" s="8" t="s">
        <v>174</v>
      </c>
    </row>
    <row r="16" spans="1:12" x14ac:dyDescent="0.25">
      <c r="A16" t="s">
        <v>16</v>
      </c>
      <c r="B16" t="s">
        <v>35</v>
      </c>
      <c r="C16">
        <v>1.4999999999999999E-2</v>
      </c>
      <c r="D16" t="s">
        <v>14</v>
      </c>
      <c r="E16" t="s">
        <v>36</v>
      </c>
    </row>
    <row r="17" spans="1:12" x14ac:dyDescent="0.25">
      <c r="A17" t="s">
        <v>37</v>
      </c>
      <c r="B17" t="s">
        <v>38</v>
      </c>
      <c r="C17">
        <v>0.06</v>
      </c>
      <c r="D17" t="s">
        <v>39</v>
      </c>
      <c r="E17" t="s">
        <v>40</v>
      </c>
      <c r="L17" s="8" t="s">
        <v>175</v>
      </c>
    </row>
    <row r="18" spans="1:12" x14ac:dyDescent="0.25">
      <c r="A18" t="s">
        <v>37</v>
      </c>
      <c r="B18" t="s">
        <v>41</v>
      </c>
      <c r="C18">
        <v>5.5E-2</v>
      </c>
      <c r="D18" t="s">
        <v>39</v>
      </c>
      <c r="E18" t="s">
        <v>42</v>
      </c>
    </row>
    <row r="19" spans="1:12" x14ac:dyDescent="0.25">
      <c r="A19" t="s">
        <v>37</v>
      </c>
      <c r="B19" t="s">
        <v>43</v>
      </c>
      <c r="C19">
        <v>0.05</v>
      </c>
      <c r="D19" t="s">
        <v>39</v>
      </c>
      <c r="E19" t="s">
        <v>44</v>
      </c>
      <c r="L19" s="8" t="s">
        <v>176</v>
      </c>
    </row>
    <row r="20" spans="1:12" x14ac:dyDescent="0.25">
      <c r="A20" t="s">
        <v>45</v>
      </c>
      <c r="B20" t="s">
        <v>46</v>
      </c>
      <c r="C20">
        <v>1000000</v>
      </c>
      <c r="D20" t="s">
        <v>18</v>
      </c>
      <c r="E20" t="s">
        <v>47</v>
      </c>
    </row>
    <row r="21" spans="1:12" x14ac:dyDescent="0.25">
      <c r="A21" t="s">
        <v>45</v>
      </c>
      <c r="B21" t="s">
        <v>48</v>
      </c>
      <c r="C21">
        <v>0.3</v>
      </c>
      <c r="D21" t="s">
        <v>14</v>
      </c>
      <c r="E21" t="s">
        <v>49</v>
      </c>
      <c r="L21" s="8" t="s">
        <v>177</v>
      </c>
    </row>
    <row r="22" spans="1:12" x14ac:dyDescent="0.25">
      <c r="A22" t="s">
        <v>45</v>
      </c>
      <c r="B22" t="s">
        <v>50</v>
      </c>
      <c r="C22">
        <v>0.02</v>
      </c>
      <c r="D22" t="s">
        <v>14</v>
      </c>
      <c r="E22" t="s">
        <v>51</v>
      </c>
    </row>
    <row r="23" spans="1:12" x14ac:dyDescent="0.25">
      <c r="A23" t="s">
        <v>45</v>
      </c>
      <c r="B23" t="s">
        <v>52</v>
      </c>
      <c r="C23">
        <f>$C$20*$C$21*$C$22</f>
        <v>6000</v>
      </c>
      <c r="D23" t="s">
        <v>53</v>
      </c>
      <c r="E23" t="s">
        <v>54</v>
      </c>
      <c r="L23" s="8" t="s">
        <v>178</v>
      </c>
    </row>
    <row r="24" spans="1:12" x14ac:dyDescent="0.25">
      <c r="A24" t="s">
        <v>45</v>
      </c>
      <c r="B24" t="s">
        <v>55</v>
      </c>
      <c r="C24">
        <v>1</v>
      </c>
      <c r="D24" t="s">
        <v>56</v>
      </c>
      <c r="E24" t="s">
        <v>57</v>
      </c>
    </row>
    <row r="25" spans="1:12" x14ac:dyDescent="0.25">
      <c r="A25" t="s">
        <v>45</v>
      </c>
      <c r="B25" t="s">
        <v>58</v>
      </c>
      <c r="C25">
        <v>1</v>
      </c>
      <c r="D25" t="s">
        <v>56</v>
      </c>
      <c r="E25" t="s">
        <v>59</v>
      </c>
    </row>
    <row r="26" spans="1:12" x14ac:dyDescent="0.25">
      <c r="A26" t="s">
        <v>45</v>
      </c>
      <c r="B26" t="s">
        <v>60</v>
      </c>
      <c r="C26">
        <v>1</v>
      </c>
      <c r="D26" t="s">
        <v>56</v>
      </c>
      <c r="E26" t="s">
        <v>61</v>
      </c>
    </row>
    <row r="27" spans="1:12" x14ac:dyDescent="0.25">
      <c r="A27" t="s">
        <v>62</v>
      </c>
      <c r="B27" t="s">
        <v>63</v>
      </c>
      <c r="C27">
        <v>0.02</v>
      </c>
      <c r="D27" t="s">
        <v>64</v>
      </c>
      <c r="E27" t="s">
        <v>65</v>
      </c>
    </row>
    <row r="28" spans="1:12" x14ac:dyDescent="0.25">
      <c r="A28" t="s">
        <v>62</v>
      </c>
      <c r="B28" t="s">
        <v>66</v>
      </c>
      <c r="C28">
        <v>10</v>
      </c>
      <c r="D28" t="s">
        <v>67</v>
      </c>
      <c r="E28" t="s">
        <v>68</v>
      </c>
    </row>
    <row r="29" spans="1:12" x14ac:dyDescent="0.25">
      <c r="A29" t="s">
        <v>69</v>
      </c>
      <c r="B29" t="s">
        <v>70</v>
      </c>
      <c r="C29">
        <v>1</v>
      </c>
      <c r="D29" t="s">
        <v>71</v>
      </c>
      <c r="E29" t="s">
        <v>72</v>
      </c>
    </row>
    <row r="30" spans="1:12" x14ac:dyDescent="0.25">
      <c r="A30" t="s">
        <v>69</v>
      </c>
      <c r="B30" t="s">
        <v>73</v>
      </c>
      <c r="C30">
        <v>10</v>
      </c>
      <c r="D30" t="s">
        <v>74</v>
      </c>
      <c r="E30" t="s">
        <v>75</v>
      </c>
    </row>
    <row r="31" spans="1:12" x14ac:dyDescent="0.25">
      <c r="A31" t="s">
        <v>69</v>
      </c>
      <c r="B31" t="s">
        <v>76</v>
      </c>
      <c r="C31">
        <v>200</v>
      </c>
      <c r="D31" t="s">
        <v>77</v>
      </c>
      <c r="E31" t="s">
        <v>78</v>
      </c>
    </row>
    <row r="32" spans="1:12" x14ac:dyDescent="0.25">
      <c r="A32" t="s">
        <v>69</v>
      </c>
      <c r="B32" t="s">
        <v>79</v>
      </c>
      <c r="C32">
        <v>400</v>
      </c>
      <c r="D32" t="s">
        <v>77</v>
      </c>
      <c r="E32" t="s">
        <v>80</v>
      </c>
    </row>
    <row r="33" spans="1:5" x14ac:dyDescent="0.25">
      <c r="A33" t="s">
        <v>69</v>
      </c>
      <c r="B33" t="s">
        <v>81</v>
      </c>
      <c r="C33">
        <v>600</v>
      </c>
      <c r="D33" t="s">
        <v>77</v>
      </c>
      <c r="E33" t="s">
        <v>82</v>
      </c>
    </row>
    <row r="34" spans="1:5" x14ac:dyDescent="0.25">
      <c r="A34" t="s">
        <v>83</v>
      </c>
      <c r="B34" t="s">
        <v>84</v>
      </c>
      <c r="C34">
        <v>1000</v>
      </c>
      <c r="D34" t="s">
        <v>77</v>
      </c>
      <c r="E34" t="s">
        <v>85</v>
      </c>
    </row>
    <row r="35" spans="1:5" x14ac:dyDescent="0.25">
      <c r="A35" t="s">
        <v>83</v>
      </c>
      <c r="B35" t="s">
        <v>86</v>
      </c>
      <c r="C35">
        <v>2000</v>
      </c>
      <c r="D35" t="s">
        <v>77</v>
      </c>
      <c r="E35" t="s">
        <v>87</v>
      </c>
    </row>
    <row r="36" spans="1:5" x14ac:dyDescent="0.25">
      <c r="A36" t="s">
        <v>83</v>
      </c>
      <c r="B36" t="s">
        <v>88</v>
      </c>
      <c r="C36">
        <v>5000</v>
      </c>
      <c r="D36" t="s">
        <v>89</v>
      </c>
      <c r="E36" t="s">
        <v>90</v>
      </c>
    </row>
    <row r="37" spans="1:5" x14ac:dyDescent="0.25">
      <c r="A37" t="s">
        <v>83</v>
      </c>
      <c r="B37" t="s">
        <v>91</v>
      </c>
      <c r="C37">
        <v>5000</v>
      </c>
      <c r="D37" t="s">
        <v>77</v>
      </c>
      <c r="E37" t="s">
        <v>92</v>
      </c>
    </row>
    <row r="38" spans="1:5" x14ac:dyDescent="0.25">
      <c r="A38" t="s">
        <v>83</v>
      </c>
      <c r="B38" t="s">
        <v>93</v>
      </c>
      <c r="C38">
        <v>15000</v>
      </c>
      <c r="D38" t="s">
        <v>89</v>
      </c>
      <c r="E38" t="s">
        <v>94</v>
      </c>
    </row>
    <row r="39" spans="1:5" x14ac:dyDescent="0.25">
      <c r="A39" t="s">
        <v>95</v>
      </c>
      <c r="B39" t="s">
        <v>96</v>
      </c>
      <c r="C39">
        <v>150000</v>
      </c>
      <c r="D39" t="s">
        <v>97</v>
      </c>
      <c r="E39" t="s">
        <v>98</v>
      </c>
    </row>
    <row r="40" spans="1:5" x14ac:dyDescent="0.25">
      <c r="A40" t="s">
        <v>95</v>
      </c>
      <c r="B40" t="s">
        <v>99</v>
      </c>
      <c r="C40">
        <v>750000</v>
      </c>
      <c r="D40" t="s">
        <v>97</v>
      </c>
      <c r="E40" t="s">
        <v>100</v>
      </c>
    </row>
    <row r="41" spans="1:5" x14ac:dyDescent="0.25">
      <c r="A41" t="s">
        <v>95</v>
      </c>
      <c r="B41" t="s">
        <v>101</v>
      </c>
      <c r="C41">
        <v>2000000</v>
      </c>
      <c r="D41" t="s">
        <v>97</v>
      </c>
      <c r="E41" t="s">
        <v>102</v>
      </c>
    </row>
    <row r="42" spans="1:5" x14ac:dyDescent="0.25">
      <c r="A42" t="s">
        <v>182</v>
      </c>
      <c r="B42" t="s">
        <v>183</v>
      </c>
      <c r="C42">
        <v>7</v>
      </c>
      <c r="D42" t="s">
        <v>188</v>
      </c>
      <c r="E42" t="s">
        <v>190</v>
      </c>
    </row>
    <row r="43" spans="1:5" x14ac:dyDescent="0.25">
      <c r="A43" t="s">
        <v>182</v>
      </c>
      <c r="B43" t="s">
        <v>184</v>
      </c>
      <c r="C43">
        <v>0.1</v>
      </c>
      <c r="D43" t="s">
        <v>14</v>
      </c>
      <c r="E43" t="s">
        <v>191</v>
      </c>
    </row>
    <row r="44" spans="1:5" x14ac:dyDescent="0.25">
      <c r="A44" t="s">
        <v>182</v>
      </c>
      <c r="B44" t="s">
        <v>185</v>
      </c>
      <c r="C44">
        <v>500</v>
      </c>
      <c r="D44" t="s">
        <v>189</v>
      </c>
      <c r="E44" t="s">
        <v>192</v>
      </c>
    </row>
    <row r="45" spans="1:5" x14ac:dyDescent="0.25">
      <c r="A45" t="s">
        <v>182</v>
      </c>
      <c r="B45" t="s">
        <v>186</v>
      </c>
      <c r="C45">
        <v>750</v>
      </c>
      <c r="D45" t="s">
        <v>189</v>
      </c>
      <c r="E45" t="s">
        <v>193</v>
      </c>
    </row>
    <row r="46" spans="1:5" x14ac:dyDescent="0.25">
      <c r="A46" t="s">
        <v>182</v>
      </c>
      <c r="B46" t="s">
        <v>187</v>
      </c>
      <c r="C46">
        <v>1000</v>
      </c>
      <c r="D46" t="s">
        <v>189</v>
      </c>
      <c r="E46" t="s">
        <v>194</v>
      </c>
    </row>
    <row r="55" spans="1:39" x14ac:dyDescent="0.25">
      <c r="A55" s="2" t="s">
        <v>103</v>
      </c>
      <c r="B55" s="2" t="s">
        <v>104</v>
      </c>
      <c r="C55" s="2" t="s">
        <v>105</v>
      </c>
      <c r="D55" s="2" t="s">
        <v>106</v>
      </c>
      <c r="E55" s="2" t="s">
        <v>107</v>
      </c>
      <c r="F55" s="2" t="s">
        <v>108</v>
      </c>
      <c r="G55" s="2" t="s">
        <v>109</v>
      </c>
      <c r="H55" s="2" t="s">
        <v>110</v>
      </c>
      <c r="I55" s="2" t="s">
        <v>111</v>
      </c>
      <c r="J55" s="2" t="s">
        <v>112</v>
      </c>
      <c r="K55" s="2" t="s">
        <v>113</v>
      </c>
      <c r="L55" s="2" t="s">
        <v>114</v>
      </c>
      <c r="M55" s="2" t="s">
        <v>115</v>
      </c>
      <c r="N55" s="2" t="s">
        <v>116</v>
      </c>
      <c r="O55" s="2" t="s">
        <v>117</v>
      </c>
      <c r="P55" s="2" t="s">
        <v>118</v>
      </c>
      <c r="Q55" s="2" t="s">
        <v>119</v>
      </c>
      <c r="R55" s="2" t="s">
        <v>120</v>
      </c>
      <c r="S55" s="2" t="s">
        <v>121</v>
      </c>
      <c r="T55" s="2" t="s">
        <v>122</v>
      </c>
      <c r="U55" s="2" t="s">
        <v>123</v>
      </c>
      <c r="V55" s="2" t="s">
        <v>124</v>
      </c>
      <c r="W55" s="2" t="s">
        <v>125</v>
      </c>
      <c r="X55" s="2" t="s">
        <v>126</v>
      </c>
      <c r="Y55" s="2" t="s">
        <v>127</v>
      </c>
      <c r="Z55" s="2" t="s">
        <v>128</v>
      </c>
      <c r="AA55" s="2" t="s">
        <v>7</v>
      </c>
      <c r="AB55" s="2" t="s">
        <v>129</v>
      </c>
      <c r="AC55" s="2" t="s">
        <v>130</v>
      </c>
      <c r="AD55" s="2" t="s">
        <v>131</v>
      </c>
      <c r="AE55" s="2" t="s">
        <v>132</v>
      </c>
      <c r="AF55" s="2" t="s">
        <v>133</v>
      </c>
      <c r="AG55" s="2" t="s">
        <v>134</v>
      </c>
      <c r="AH55" s="2" t="s">
        <v>135</v>
      </c>
      <c r="AI55" s="2" t="s">
        <v>136</v>
      </c>
      <c r="AJ55" s="2" t="s">
        <v>137</v>
      </c>
      <c r="AK55" s="2" t="s">
        <v>138</v>
      </c>
      <c r="AL55" s="2" t="s">
        <v>139</v>
      </c>
      <c r="AM55" s="2" t="s">
        <v>140</v>
      </c>
    </row>
    <row r="56" spans="1:39" x14ac:dyDescent="0.25">
      <c r="A56">
        <v>1</v>
      </c>
      <c r="B56">
        <v>1</v>
      </c>
      <c r="C56" s="4">
        <f>$C$8</f>
        <v>1000</v>
      </c>
      <c r="D56" s="4">
        <f t="shared" ref="D56:D91" si="0">C56*(1+$C$9)</f>
        <v>1080</v>
      </c>
      <c r="E56">
        <f t="shared" ref="E56:E91" si="1">IF(A56=1,$C$10,IF(A56=2,$C$11,$C$12))</f>
        <v>120</v>
      </c>
      <c r="F56" s="6">
        <f t="shared" ref="F56:F91" si="2">D56*E56*$C$13</f>
        <v>5184</v>
      </c>
      <c r="G56" s="6">
        <f t="shared" ref="G56:G91" si="3">F56*$C$14</f>
        <v>2592</v>
      </c>
      <c r="H56" s="6">
        <f t="shared" ref="H56:H91" si="4">F56+G56</f>
        <v>7776</v>
      </c>
      <c r="I56" s="6">
        <f t="shared" ref="I56:I91" si="5">IF($C$15&gt;0,G56/$C$15,0)</f>
        <v>1728</v>
      </c>
      <c r="J56" s="6">
        <f t="shared" ref="J56:J91" si="6">I56*$C$16</f>
        <v>25.919999999999998</v>
      </c>
      <c r="K56">
        <f t="shared" ref="K56:K91" si="7">IF(A56=1,$C$24,IF(A56=2,$C$25,$C$26))*$C$23</f>
        <v>6000</v>
      </c>
      <c r="L56">
        <v>0</v>
      </c>
      <c r="M56" s="4">
        <f t="shared" ref="M56:M91" si="8">J56+K56+L56</f>
        <v>6025.92</v>
      </c>
      <c r="N56" s="4">
        <f t="shared" ref="N56:N91" si="9">M56*$C$6</f>
        <v>783.36959999999999</v>
      </c>
      <c r="O56" s="4">
        <f t="shared" ref="O56:O91" si="10">IF(M56&gt;0,N56*J56/M56,0)</f>
        <v>3.3695999999999997</v>
      </c>
      <c r="P56">
        <f t="shared" ref="P56:P91" si="11">IF(M56&gt;0,N56*K56/M56,0)</f>
        <v>779.99999999999989</v>
      </c>
      <c r="Q56">
        <f t="shared" ref="Q56:Q91" si="12">IF(M56&gt;0,N56*L56/M56,0)</f>
        <v>0</v>
      </c>
      <c r="R56" s="4">
        <f t="shared" ref="R56:R90" si="13">X56*$C$27</f>
        <v>0</v>
      </c>
      <c r="S56" s="4">
        <f t="shared" ref="S56:S91" si="14">O56*$C$7</f>
        <v>0.117936</v>
      </c>
      <c r="T56" s="4">
        <f t="shared" ref="T56:T91" si="15">P56*$C$7</f>
        <v>27.299999999999997</v>
      </c>
      <c r="U56">
        <f t="shared" ref="U56:U91" si="16">Q56*$C$7</f>
        <v>0</v>
      </c>
      <c r="V56" s="4">
        <f t="shared" ref="V56:V91" si="17">R56+S56+T56+U56</f>
        <v>27.417935999999997</v>
      </c>
      <c r="W56">
        <f t="shared" ref="W56:W91" si="18">IF(A56=1,$C$17,IF(A56=2,$C$18,$C$19))</f>
        <v>0.06</v>
      </c>
      <c r="X56" s="4">
        <v>0</v>
      </c>
      <c r="Y56" s="4">
        <f t="shared" ref="Y56:Y91" si="19">X56*W56</f>
        <v>0</v>
      </c>
      <c r="Z56" s="4">
        <f t="shared" ref="Z56:Z91" si="20">X56-Y56+V56</f>
        <v>27.417935999999997</v>
      </c>
      <c r="AA56" s="5">
        <f t="shared" ref="AA56:AA91" si="21">$C$4</f>
        <v>20</v>
      </c>
      <c r="AB56" s="5">
        <f t="shared" ref="AB56:AB91" si="22">Z56*AA56</f>
        <v>548.35871999999995</v>
      </c>
      <c r="AC56" s="5">
        <f t="shared" ref="AC56:AC91" si="23">E56*$C$29</f>
        <v>120</v>
      </c>
      <c r="AD56" s="5">
        <f t="shared" ref="AD56:AD91" si="24">T56*$C$30</f>
        <v>273</v>
      </c>
      <c r="AE56" s="5">
        <f t="shared" ref="AE56:AE91" si="25">IF(A56=1,$C$31,IF(A56=2,$C$32,$C$33))</f>
        <v>200</v>
      </c>
      <c r="AF56" s="5">
        <f t="shared" ref="AF56:AF91" si="26">R56*$C$28</f>
        <v>0</v>
      </c>
      <c r="AG56" s="5">
        <f t="shared" ref="AG56:AG91" si="27">AC56+AD56+AE56+AF56</f>
        <v>593</v>
      </c>
      <c r="AH56" s="5">
        <f t="shared" ref="AH56:AH91" si="28">IF(AB56&gt;=$C$36,$C$35,0)</f>
        <v>0</v>
      </c>
      <c r="AI56" s="5">
        <f t="shared" ref="AI56:AI91" si="29">IF(AB56&gt;=$C$38,$C$37,0)</f>
        <v>0</v>
      </c>
      <c r="AJ56" s="5">
        <f t="shared" ref="AJ56:AJ91" si="30">$C$34</f>
        <v>1000</v>
      </c>
      <c r="AK56" s="5">
        <f t="shared" ref="AK56:AK91" si="31">AG56+AH56+AI56+AJ56</f>
        <v>1593</v>
      </c>
      <c r="AL56" s="5">
        <f t="shared" ref="AL56:AL91" si="32">AB56-AK56</f>
        <v>-1044.6412800000001</v>
      </c>
      <c r="AM56" s="5">
        <f>AL56</f>
        <v>-1044.6412800000001</v>
      </c>
    </row>
    <row r="57" spans="1:39" x14ac:dyDescent="0.25">
      <c r="A57">
        <v>1</v>
      </c>
      <c r="B57">
        <v>2</v>
      </c>
      <c r="C57" s="4">
        <f t="shared" ref="C57:C91" si="33">D56</f>
        <v>1080</v>
      </c>
      <c r="D57" s="4">
        <f t="shared" si="0"/>
        <v>1166.4000000000001</v>
      </c>
      <c r="E57">
        <f t="shared" si="1"/>
        <v>120</v>
      </c>
      <c r="F57" s="6">
        <f>D57*E57*$C$13</f>
        <v>5598.72</v>
      </c>
      <c r="G57" s="6">
        <f t="shared" si="3"/>
        <v>2799.36</v>
      </c>
      <c r="H57" s="6">
        <f t="shared" si="4"/>
        <v>8398.08</v>
      </c>
      <c r="I57" s="6">
        <f t="shared" si="5"/>
        <v>1866.24</v>
      </c>
      <c r="J57" s="6">
        <f t="shared" si="6"/>
        <v>27.993600000000001</v>
      </c>
      <c r="K57">
        <f>IF(A57=1,$C$24,IF(A57=2,$C$25,$C$26))*$C$23</f>
        <v>6000</v>
      </c>
      <c r="L57">
        <v>0</v>
      </c>
      <c r="M57" s="4">
        <f t="shared" si="8"/>
        <v>6027.9935999999998</v>
      </c>
      <c r="N57" s="4">
        <f t="shared" si="9"/>
        <v>783.63916800000004</v>
      </c>
      <c r="O57" s="4">
        <f t="shared" si="10"/>
        <v>3.6391680000000002</v>
      </c>
      <c r="P57">
        <f t="shared" si="11"/>
        <v>780.00000000000011</v>
      </c>
      <c r="Q57">
        <f t="shared" si="12"/>
        <v>0</v>
      </c>
      <c r="R57" s="4">
        <f t="shared" si="13"/>
        <v>0.54835871999999997</v>
      </c>
      <c r="S57" s="4">
        <f t="shared" si="14"/>
        <v>0.12737088000000002</v>
      </c>
      <c r="T57" s="4">
        <f t="shared" si="15"/>
        <v>27.300000000000008</v>
      </c>
      <c r="U57">
        <f t="shared" si="16"/>
        <v>0</v>
      </c>
      <c r="V57" s="4">
        <f t="shared" si="17"/>
        <v>27.975729600000008</v>
      </c>
      <c r="W57">
        <f t="shared" si="18"/>
        <v>0.06</v>
      </c>
      <c r="X57" s="4">
        <f t="shared" ref="X57:X91" si="34">Z56</f>
        <v>27.417935999999997</v>
      </c>
      <c r="Y57" s="4">
        <f t="shared" si="19"/>
        <v>1.6450761599999997</v>
      </c>
      <c r="Z57" s="4">
        <f t="shared" si="20"/>
        <v>53.748589440000003</v>
      </c>
      <c r="AA57" s="5">
        <f t="shared" si="21"/>
        <v>20</v>
      </c>
      <c r="AB57" s="5">
        <f t="shared" si="22"/>
        <v>1074.9717888</v>
      </c>
      <c r="AC57" s="5">
        <f t="shared" si="23"/>
        <v>120</v>
      </c>
      <c r="AD57" s="5">
        <f t="shared" si="24"/>
        <v>273.00000000000006</v>
      </c>
      <c r="AE57" s="5">
        <f t="shared" si="25"/>
        <v>200</v>
      </c>
      <c r="AF57" s="5">
        <f t="shared" si="26"/>
        <v>5.4835871999999997</v>
      </c>
      <c r="AG57" s="5">
        <f t="shared" si="27"/>
        <v>598.48358719999999</v>
      </c>
      <c r="AH57" s="5">
        <f t="shared" si="28"/>
        <v>0</v>
      </c>
      <c r="AI57" s="5">
        <f t="shared" si="29"/>
        <v>0</v>
      </c>
      <c r="AJ57" s="5">
        <f t="shared" si="30"/>
        <v>1000</v>
      </c>
      <c r="AK57" s="5">
        <f t="shared" si="31"/>
        <v>1598.4835871999999</v>
      </c>
      <c r="AL57" s="5">
        <f t="shared" si="32"/>
        <v>-523.51179839999986</v>
      </c>
      <c r="AM57" s="5">
        <f t="shared" ref="AM57:AM91" si="35">AM56+AL57</f>
        <v>-1568.1530783999999</v>
      </c>
    </row>
    <row r="58" spans="1:39" x14ac:dyDescent="0.25">
      <c r="A58">
        <v>1</v>
      </c>
      <c r="B58">
        <v>3</v>
      </c>
      <c r="C58" s="4">
        <f t="shared" si="33"/>
        <v>1166.4000000000001</v>
      </c>
      <c r="D58" s="4">
        <f t="shared" si="0"/>
        <v>1259.7120000000002</v>
      </c>
      <c r="E58">
        <f t="shared" si="1"/>
        <v>120</v>
      </c>
      <c r="F58" s="6">
        <f t="shared" si="2"/>
        <v>6046.6176000000014</v>
      </c>
      <c r="G58" s="6">
        <f t="shared" si="3"/>
        <v>3023.3088000000007</v>
      </c>
      <c r="H58" s="6">
        <f t="shared" si="4"/>
        <v>9069.9264000000021</v>
      </c>
      <c r="I58" s="6">
        <f t="shared" si="5"/>
        <v>2015.5392000000004</v>
      </c>
      <c r="J58" s="6">
        <f t="shared" si="6"/>
        <v>30.233088000000006</v>
      </c>
      <c r="K58">
        <f t="shared" si="7"/>
        <v>6000</v>
      </c>
      <c r="L58">
        <v>0</v>
      </c>
      <c r="M58" s="4">
        <f t="shared" si="8"/>
        <v>6030.233088</v>
      </c>
      <c r="N58" s="4">
        <f t="shared" si="9"/>
        <v>783.93030143999999</v>
      </c>
      <c r="O58" s="4">
        <f t="shared" si="10"/>
        <v>3.9303014400000005</v>
      </c>
      <c r="P58">
        <f>IF(M58&gt;0,N58*K58/M58,0)</f>
        <v>780.00000000000011</v>
      </c>
      <c r="Q58">
        <f t="shared" si="12"/>
        <v>0</v>
      </c>
      <c r="R58" s="4">
        <f t="shared" si="13"/>
        <v>1.0749717888000001</v>
      </c>
      <c r="S58" s="4">
        <f t="shared" si="14"/>
        <v>0.13756055040000004</v>
      </c>
      <c r="T58" s="4">
        <f t="shared" si="15"/>
        <v>27.300000000000008</v>
      </c>
      <c r="U58">
        <f t="shared" si="16"/>
        <v>0</v>
      </c>
      <c r="V58" s="4">
        <f t="shared" si="17"/>
        <v>28.512532339200007</v>
      </c>
      <c r="W58">
        <f t="shared" si="18"/>
        <v>0.06</v>
      </c>
      <c r="X58" s="4">
        <f t="shared" si="34"/>
        <v>53.748589440000003</v>
      </c>
      <c r="Y58" s="4">
        <f t="shared" si="19"/>
        <v>3.2249153663999999</v>
      </c>
      <c r="Z58" s="4">
        <f t="shared" si="20"/>
        <v>79.036206412800013</v>
      </c>
      <c r="AA58" s="5">
        <f t="shared" si="21"/>
        <v>20</v>
      </c>
      <c r="AB58" s="5">
        <f t="shared" si="22"/>
        <v>1580.7241282560003</v>
      </c>
      <c r="AC58" s="5">
        <f t="shared" si="23"/>
        <v>120</v>
      </c>
      <c r="AD58" s="5">
        <f t="shared" si="24"/>
        <v>273.00000000000006</v>
      </c>
      <c r="AE58" s="5">
        <f t="shared" si="25"/>
        <v>200</v>
      </c>
      <c r="AF58" s="5">
        <f t="shared" si="26"/>
        <v>10.749717888000001</v>
      </c>
      <c r="AG58" s="5">
        <f t="shared" si="27"/>
        <v>603.74971788799996</v>
      </c>
      <c r="AH58" s="5">
        <f t="shared" si="28"/>
        <v>0</v>
      </c>
      <c r="AI58" s="5">
        <f t="shared" si="29"/>
        <v>0</v>
      </c>
      <c r="AJ58" s="5">
        <f t="shared" si="30"/>
        <v>1000</v>
      </c>
      <c r="AK58" s="5">
        <f t="shared" si="31"/>
        <v>1603.7497178879999</v>
      </c>
      <c r="AL58" s="5">
        <f t="shared" si="32"/>
        <v>-23.025589631999537</v>
      </c>
      <c r="AM58" s="5">
        <f t="shared" si="35"/>
        <v>-1591.1786680319995</v>
      </c>
    </row>
    <row r="59" spans="1:39" x14ac:dyDescent="0.25">
      <c r="A59">
        <v>1</v>
      </c>
      <c r="B59">
        <v>4</v>
      </c>
      <c r="C59" s="4">
        <f t="shared" si="33"/>
        <v>1259.7120000000002</v>
      </c>
      <c r="D59" s="4">
        <f t="shared" si="0"/>
        <v>1360.4889600000004</v>
      </c>
      <c r="E59">
        <f t="shared" si="1"/>
        <v>120</v>
      </c>
      <c r="F59" s="6">
        <f t="shared" si="2"/>
        <v>6530.3470080000025</v>
      </c>
      <c r="G59" s="6">
        <f t="shared" si="3"/>
        <v>3265.1735040000012</v>
      </c>
      <c r="H59" s="6">
        <f t="shared" si="4"/>
        <v>9795.5205120000028</v>
      </c>
      <c r="I59" s="6">
        <f t="shared" si="5"/>
        <v>2176.7823360000007</v>
      </c>
      <c r="J59" s="6">
        <f t="shared" si="6"/>
        <v>32.651735040000005</v>
      </c>
      <c r="K59">
        <f>IF(A59=1,$C$24,IF(A59=2,$C$25,$C$26))*$C$23</f>
        <v>6000</v>
      </c>
      <c r="L59">
        <v>0</v>
      </c>
      <c r="M59" s="4">
        <f t="shared" si="8"/>
        <v>6032.6517350399999</v>
      </c>
      <c r="N59" s="4">
        <f t="shared" si="9"/>
        <v>784.24472555520003</v>
      </c>
      <c r="O59" s="4">
        <f t="shared" si="10"/>
        <v>4.2447255552000014</v>
      </c>
      <c r="P59">
        <f t="shared" si="11"/>
        <v>780</v>
      </c>
      <c r="Q59">
        <f t="shared" si="12"/>
        <v>0</v>
      </c>
      <c r="R59" s="4">
        <f t="shared" si="13"/>
        <v>1.5807241282560003</v>
      </c>
      <c r="S59" s="4">
        <f t="shared" si="14"/>
        <v>0.14856539443200006</v>
      </c>
      <c r="T59" s="4">
        <f t="shared" si="15"/>
        <v>27.300000000000004</v>
      </c>
      <c r="U59">
        <f t="shared" si="16"/>
        <v>0</v>
      </c>
      <c r="V59" s="4">
        <f t="shared" si="17"/>
        <v>29.029289522688003</v>
      </c>
      <c r="W59">
        <f t="shared" si="18"/>
        <v>0.06</v>
      </c>
      <c r="X59" s="4">
        <f t="shared" si="34"/>
        <v>79.036206412800013</v>
      </c>
      <c r="Y59" s="4">
        <f t="shared" si="19"/>
        <v>4.7421723847680006</v>
      </c>
      <c r="Z59" s="4">
        <f t="shared" si="20"/>
        <v>103.32332355072002</v>
      </c>
      <c r="AA59" s="5">
        <f t="shared" si="21"/>
        <v>20</v>
      </c>
      <c r="AB59" s="5">
        <f t="shared" si="22"/>
        <v>2066.4664710144002</v>
      </c>
      <c r="AC59" s="5">
        <f t="shared" si="23"/>
        <v>120</v>
      </c>
      <c r="AD59" s="5">
        <f t="shared" si="24"/>
        <v>273.00000000000006</v>
      </c>
      <c r="AE59" s="5">
        <f t="shared" si="25"/>
        <v>200</v>
      </c>
      <c r="AF59" s="5">
        <f t="shared" si="26"/>
        <v>15.807241282560003</v>
      </c>
      <c r="AG59" s="5">
        <f t="shared" si="27"/>
        <v>608.80724128255997</v>
      </c>
      <c r="AH59" s="5">
        <f t="shared" si="28"/>
        <v>0</v>
      </c>
      <c r="AI59" s="5">
        <f t="shared" si="29"/>
        <v>0</v>
      </c>
      <c r="AJ59" s="5">
        <f t="shared" si="30"/>
        <v>1000</v>
      </c>
      <c r="AK59" s="5">
        <f t="shared" si="31"/>
        <v>1608.80724128256</v>
      </c>
      <c r="AL59" s="5">
        <f t="shared" si="32"/>
        <v>457.65922973184024</v>
      </c>
      <c r="AM59" s="5">
        <f t="shared" si="35"/>
        <v>-1133.5194383001592</v>
      </c>
    </row>
    <row r="60" spans="1:39" x14ac:dyDescent="0.25">
      <c r="A60">
        <v>1</v>
      </c>
      <c r="B60">
        <v>5</v>
      </c>
      <c r="C60" s="4">
        <f t="shared" si="33"/>
        <v>1360.4889600000004</v>
      </c>
      <c r="D60" s="4">
        <f t="shared" si="0"/>
        <v>1469.3280768000004</v>
      </c>
      <c r="E60">
        <f t="shared" si="1"/>
        <v>120</v>
      </c>
      <c r="F60" s="6">
        <f t="shared" si="2"/>
        <v>7052.7747686400025</v>
      </c>
      <c r="G60" s="6">
        <f t="shared" si="3"/>
        <v>3526.3873843200013</v>
      </c>
      <c r="H60" s="6">
        <f t="shared" si="4"/>
        <v>10579.162152960003</v>
      </c>
      <c r="I60" s="6">
        <f t="shared" si="5"/>
        <v>2350.9249228800008</v>
      </c>
      <c r="J60" s="6">
        <f t="shared" si="6"/>
        <v>35.26387384320001</v>
      </c>
      <c r="K60">
        <f t="shared" si="7"/>
        <v>6000</v>
      </c>
      <c r="L60">
        <v>0</v>
      </c>
      <c r="M60" s="4">
        <f t="shared" si="8"/>
        <v>6035.2638738431997</v>
      </c>
      <c r="N60" s="4">
        <f t="shared" si="9"/>
        <v>784.58430359961596</v>
      </c>
      <c r="O60" s="4">
        <f t="shared" si="10"/>
        <v>4.5843035996160015</v>
      </c>
      <c r="P60">
        <f t="shared" si="11"/>
        <v>779.99999999999989</v>
      </c>
      <c r="Q60">
        <f t="shared" si="12"/>
        <v>0</v>
      </c>
      <c r="R60" s="4">
        <f t="shared" si="13"/>
        <v>2.0664664710144005</v>
      </c>
      <c r="S60" s="4">
        <f t="shared" si="14"/>
        <v>0.16045062598656007</v>
      </c>
      <c r="T60" s="4">
        <f t="shared" si="15"/>
        <v>27.299999999999997</v>
      </c>
      <c r="U60">
        <f t="shared" si="16"/>
        <v>0</v>
      </c>
      <c r="V60" s="4">
        <f t="shared" si="17"/>
        <v>29.526917097000958</v>
      </c>
      <c r="W60">
        <f t="shared" si="18"/>
        <v>0.06</v>
      </c>
      <c r="X60" s="4">
        <f t="shared" si="34"/>
        <v>103.32332355072002</v>
      </c>
      <c r="Y60" s="4">
        <f t="shared" si="19"/>
        <v>6.1993994130432011</v>
      </c>
      <c r="Z60" s="4">
        <f t="shared" si="20"/>
        <v>126.65084123467778</v>
      </c>
      <c r="AA60" s="5">
        <f t="shared" si="21"/>
        <v>20</v>
      </c>
      <c r="AB60" s="5">
        <f t="shared" si="22"/>
        <v>2533.0168246935555</v>
      </c>
      <c r="AC60" s="5">
        <f t="shared" si="23"/>
        <v>120</v>
      </c>
      <c r="AD60" s="5">
        <f t="shared" si="24"/>
        <v>273</v>
      </c>
      <c r="AE60" s="5">
        <f t="shared" si="25"/>
        <v>200</v>
      </c>
      <c r="AF60" s="5">
        <f t="shared" si="26"/>
        <v>20.664664710144006</v>
      </c>
      <c r="AG60" s="5">
        <f t="shared" si="27"/>
        <v>613.66466471014405</v>
      </c>
      <c r="AH60" s="5">
        <f t="shared" si="28"/>
        <v>0</v>
      </c>
      <c r="AI60" s="5">
        <f t="shared" si="29"/>
        <v>0</v>
      </c>
      <c r="AJ60" s="5">
        <f t="shared" si="30"/>
        <v>1000</v>
      </c>
      <c r="AK60" s="5">
        <f t="shared" si="31"/>
        <v>1613.6646647101441</v>
      </c>
      <c r="AL60" s="5">
        <f t="shared" si="32"/>
        <v>919.35215998341141</v>
      </c>
      <c r="AM60" s="5">
        <f t="shared" si="35"/>
        <v>-214.1672783167478</v>
      </c>
    </row>
    <row r="61" spans="1:39" x14ac:dyDescent="0.25">
      <c r="A61">
        <v>1</v>
      </c>
      <c r="B61">
        <v>6</v>
      </c>
      <c r="C61" s="4">
        <f t="shared" si="33"/>
        <v>1469.3280768000004</v>
      </c>
      <c r="D61" s="4">
        <f t="shared" si="0"/>
        <v>1586.8743229440006</v>
      </c>
      <c r="E61">
        <f t="shared" si="1"/>
        <v>120</v>
      </c>
      <c r="F61" s="6">
        <f t="shared" si="2"/>
        <v>7616.996750131203</v>
      </c>
      <c r="G61" s="6">
        <f t="shared" si="3"/>
        <v>3808.4983750656015</v>
      </c>
      <c r="H61" s="6">
        <f t="shared" si="4"/>
        <v>11425.495125196805</v>
      </c>
      <c r="I61" s="6">
        <f t="shared" si="5"/>
        <v>2538.9989167104009</v>
      </c>
      <c r="J61" s="6">
        <f t="shared" si="6"/>
        <v>38.084983750656015</v>
      </c>
      <c r="K61">
        <f t="shared" si="7"/>
        <v>6000</v>
      </c>
      <c r="L61">
        <v>0</v>
      </c>
      <c r="M61" s="4">
        <f t="shared" si="8"/>
        <v>6038.0849837506557</v>
      </c>
      <c r="N61" s="4">
        <f t="shared" si="9"/>
        <v>784.95104788758522</v>
      </c>
      <c r="O61" s="4">
        <f t="shared" si="10"/>
        <v>4.9510478875852817</v>
      </c>
      <c r="P61">
        <f t="shared" si="11"/>
        <v>780</v>
      </c>
      <c r="Q61">
        <f t="shared" si="12"/>
        <v>0</v>
      </c>
      <c r="R61" s="4">
        <f t="shared" si="13"/>
        <v>2.5330168246935556</v>
      </c>
      <c r="S61" s="4">
        <f t="shared" si="14"/>
        <v>0.17328667606548487</v>
      </c>
      <c r="T61" s="4">
        <f t="shared" si="15"/>
        <v>27.300000000000004</v>
      </c>
      <c r="U61">
        <f t="shared" si="16"/>
        <v>0</v>
      </c>
      <c r="V61" s="4">
        <f t="shared" si="17"/>
        <v>30.006303500759046</v>
      </c>
      <c r="W61">
        <f t="shared" si="18"/>
        <v>0.06</v>
      </c>
      <c r="X61" s="4">
        <f t="shared" si="34"/>
        <v>126.65084123467778</v>
      </c>
      <c r="Y61" s="4">
        <f t="shared" si="19"/>
        <v>7.5990504740806664</v>
      </c>
      <c r="Z61" s="4">
        <f t="shared" si="20"/>
        <v>149.05809426135616</v>
      </c>
      <c r="AA61" s="5">
        <f t="shared" si="21"/>
        <v>20</v>
      </c>
      <c r="AB61" s="5">
        <f t="shared" si="22"/>
        <v>2981.1618852271231</v>
      </c>
      <c r="AC61" s="5">
        <f t="shared" si="23"/>
        <v>120</v>
      </c>
      <c r="AD61" s="5">
        <f t="shared" si="24"/>
        <v>273.00000000000006</v>
      </c>
      <c r="AE61" s="5">
        <f t="shared" si="25"/>
        <v>200</v>
      </c>
      <c r="AF61" s="5">
        <f t="shared" si="26"/>
        <v>25.330168246935557</v>
      </c>
      <c r="AG61" s="5">
        <f t="shared" si="27"/>
        <v>618.3301682469355</v>
      </c>
      <c r="AH61" s="5">
        <f t="shared" si="28"/>
        <v>0</v>
      </c>
      <c r="AI61" s="5">
        <f t="shared" si="29"/>
        <v>0</v>
      </c>
      <c r="AJ61" s="5">
        <f t="shared" si="30"/>
        <v>1000</v>
      </c>
      <c r="AK61" s="5">
        <f t="shared" si="31"/>
        <v>1618.3301682469355</v>
      </c>
      <c r="AL61" s="5">
        <f t="shared" si="32"/>
        <v>1362.8317169801876</v>
      </c>
      <c r="AM61" s="5">
        <f t="shared" si="35"/>
        <v>1148.6644386634398</v>
      </c>
    </row>
    <row r="62" spans="1:39" x14ac:dyDescent="0.25">
      <c r="A62">
        <v>1</v>
      </c>
      <c r="B62">
        <v>7</v>
      </c>
      <c r="C62" s="4">
        <f t="shared" si="33"/>
        <v>1586.8743229440006</v>
      </c>
      <c r="D62" s="4">
        <f t="shared" si="0"/>
        <v>1713.8242687795207</v>
      </c>
      <c r="E62">
        <f t="shared" si="1"/>
        <v>120</v>
      </c>
      <c r="F62" s="6">
        <f t="shared" si="2"/>
        <v>8226.3564901416994</v>
      </c>
      <c r="G62" s="6">
        <f t="shared" si="3"/>
        <v>4113.1782450708497</v>
      </c>
      <c r="H62" s="6">
        <f t="shared" si="4"/>
        <v>12339.53473521255</v>
      </c>
      <c r="I62" s="6">
        <f t="shared" si="5"/>
        <v>2742.1188300472331</v>
      </c>
      <c r="J62" s="6">
        <f t="shared" si="6"/>
        <v>41.131782450708492</v>
      </c>
      <c r="K62">
        <f t="shared" si="7"/>
        <v>6000</v>
      </c>
      <c r="L62">
        <v>0</v>
      </c>
      <c r="M62" s="4">
        <f t="shared" si="8"/>
        <v>6041.1317824507087</v>
      </c>
      <c r="N62" s="4">
        <f>M62*$C$6</f>
        <v>785.34713171859221</v>
      </c>
      <c r="O62" s="4">
        <f t="shared" si="10"/>
        <v>5.347131718592105</v>
      </c>
      <c r="P62">
        <f t="shared" si="11"/>
        <v>780.00000000000011</v>
      </c>
      <c r="Q62">
        <f t="shared" si="12"/>
        <v>0</v>
      </c>
      <c r="R62" s="4">
        <f t="shared" si="13"/>
        <v>2.9811618852271233</v>
      </c>
      <c r="S62" s="4">
        <f t="shared" si="14"/>
        <v>0.18714961015072371</v>
      </c>
      <c r="T62" s="4">
        <f t="shared" si="15"/>
        <v>27.300000000000008</v>
      </c>
      <c r="U62">
        <f t="shared" si="16"/>
        <v>0</v>
      </c>
      <c r="V62" s="4">
        <f t="shared" si="17"/>
        <v>30.468311495377854</v>
      </c>
      <c r="W62">
        <f t="shared" si="18"/>
        <v>0.06</v>
      </c>
      <c r="X62" s="4">
        <f t="shared" si="34"/>
        <v>149.05809426135616</v>
      </c>
      <c r="Y62" s="4">
        <f t="shared" si="19"/>
        <v>8.9434856556813696</v>
      </c>
      <c r="Z62" s="4">
        <f t="shared" si="20"/>
        <v>170.58292010105265</v>
      </c>
      <c r="AA62" s="5">
        <f t="shared" si="21"/>
        <v>20</v>
      </c>
      <c r="AB62" s="5">
        <f t="shared" si="22"/>
        <v>3411.658402021053</v>
      </c>
      <c r="AC62" s="5">
        <f t="shared" si="23"/>
        <v>120</v>
      </c>
      <c r="AD62" s="5">
        <f t="shared" si="24"/>
        <v>273.00000000000006</v>
      </c>
      <c r="AE62" s="5">
        <f t="shared" si="25"/>
        <v>200</v>
      </c>
      <c r="AF62" s="5">
        <f t="shared" si="26"/>
        <v>29.811618852271234</v>
      </c>
      <c r="AG62" s="5">
        <f t="shared" si="27"/>
        <v>622.81161885227118</v>
      </c>
      <c r="AH62" s="5">
        <f t="shared" si="28"/>
        <v>0</v>
      </c>
      <c r="AI62" s="5">
        <f t="shared" si="29"/>
        <v>0</v>
      </c>
      <c r="AJ62" s="5">
        <f t="shared" si="30"/>
        <v>1000</v>
      </c>
      <c r="AK62" s="5">
        <f t="shared" si="31"/>
        <v>1622.8116188522713</v>
      </c>
      <c r="AL62" s="5">
        <f t="shared" si="32"/>
        <v>1788.8467831687817</v>
      </c>
      <c r="AM62" s="5">
        <f t="shared" si="35"/>
        <v>2937.5112218322215</v>
      </c>
    </row>
    <row r="63" spans="1:39" x14ac:dyDescent="0.25">
      <c r="A63">
        <v>1</v>
      </c>
      <c r="B63">
        <v>8</v>
      </c>
      <c r="C63" s="4">
        <f t="shared" si="33"/>
        <v>1713.8242687795207</v>
      </c>
      <c r="D63" s="4">
        <f t="shared" si="0"/>
        <v>1850.9302102818824</v>
      </c>
      <c r="E63">
        <f t="shared" si="1"/>
        <v>120</v>
      </c>
      <c r="F63" s="6">
        <f t="shared" si="2"/>
        <v>8884.4650093530345</v>
      </c>
      <c r="G63" s="6">
        <f t="shared" si="3"/>
        <v>4442.2325046765172</v>
      </c>
      <c r="H63" s="6">
        <f t="shared" si="4"/>
        <v>13326.697514029551</v>
      </c>
      <c r="I63" s="6">
        <f t="shared" si="5"/>
        <v>2961.4883364510115</v>
      </c>
      <c r="J63" s="6">
        <f t="shared" si="6"/>
        <v>44.422325046765174</v>
      </c>
      <c r="K63">
        <f t="shared" si="7"/>
        <v>6000</v>
      </c>
      <c r="L63">
        <v>0</v>
      </c>
      <c r="M63" s="4">
        <f t="shared" si="8"/>
        <v>6044.4223250467649</v>
      </c>
      <c r="N63" s="4">
        <f t="shared" si="9"/>
        <v>785.77490225607949</v>
      </c>
      <c r="O63" s="4">
        <f t="shared" si="10"/>
        <v>5.7749022560794732</v>
      </c>
      <c r="P63">
        <f>IF(M63&gt;0,N63*K63/M63,0)</f>
        <v>780</v>
      </c>
      <c r="Q63">
        <f t="shared" si="12"/>
        <v>0</v>
      </c>
      <c r="R63" s="4">
        <f t="shared" si="13"/>
        <v>3.411658402021053</v>
      </c>
      <c r="S63" s="4">
        <f t="shared" si="14"/>
        <v>0.20212157896278157</v>
      </c>
      <c r="T63" s="4">
        <f t="shared" si="15"/>
        <v>27.300000000000004</v>
      </c>
      <c r="U63">
        <f t="shared" si="16"/>
        <v>0</v>
      </c>
      <c r="V63" s="4">
        <f t="shared" si="17"/>
        <v>30.91377998098384</v>
      </c>
      <c r="W63">
        <f t="shared" si="18"/>
        <v>0.06</v>
      </c>
      <c r="X63" s="4">
        <f t="shared" si="34"/>
        <v>170.58292010105265</v>
      </c>
      <c r="Y63" s="4">
        <f t="shared" si="19"/>
        <v>10.234975206063158</v>
      </c>
      <c r="Z63" s="4">
        <f t="shared" si="20"/>
        <v>191.26172487597333</v>
      </c>
      <c r="AA63" s="5">
        <f t="shared" si="21"/>
        <v>20</v>
      </c>
      <c r="AB63" s="5">
        <f t="shared" si="22"/>
        <v>3825.2344975194665</v>
      </c>
      <c r="AC63" s="5">
        <f t="shared" si="23"/>
        <v>120</v>
      </c>
      <c r="AD63" s="5">
        <f t="shared" si="24"/>
        <v>273.00000000000006</v>
      </c>
      <c r="AE63" s="5">
        <f t="shared" si="25"/>
        <v>200</v>
      </c>
      <c r="AF63" s="5">
        <f t="shared" si="26"/>
        <v>34.116584020210531</v>
      </c>
      <c r="AG63" s="5">
        <f t="shared" si="27"/>
        <v>627.11658402021055</v>
      </c>
      <c r="AH63" s="5">
        <f t="shared" si="28"/>
        <v>0</v>
      </c>
      <c r="AI63" s="5">
        <f t="shared" si="29"/>
        <v>0</v>
      </c>
      <c r="AJ63" s="5">
        <f t="shared" si="30"/>
        <v>1000</v>
      </c>
      <c r="AK63" s="5">
        <f t="shared" si="31"/>
        <v>1627.1165840202107</v>
      </c>
      <c r="AL63" s="5">
        <f t="shared" si="32"/>
        <v>2198.1179134992558</v>
      </c>
      <c r="AM63" s="5">
        <f t="shared" si="35"/>
        <v>5135.6291353314773</v>
      </c>
    </row>
    <row r="64" spans="1:39" x14ac:dyDescent="0.25">
      <c r="A64">
        <v>1</v>
      </c>
      <c r="B64">
        <v>9</v>
      </c>
      <c r="C64" s="4">
        <f t="shared" si="33"/>
        <v>1850.9302102818824</v>
      </c>
      <c r="D64" s="4">
        <f t="shared" si="0"/>
        <v>1999.0046271044332</v>
      </c>
      <c r="E64">
        <f t="shared" si="1"/>
        <v>120</v>
      </c>
      <c r="F64" s="6">
        <f t="shared" si="2"/>
        <v>9595.2222101012794</v>
      </c>
      <c r="G64" s="6">
        <f t="shared" si="3"/>
        <v>4797.6111050506397</v>
      </c>
      <c r="H64" s="6">
        <f t="shared" si="4"/>
        <v>14392.833315151918</v>
      </c>
      <c r="I64" s="6">
        <f t="shared" si="5"/>
        <v>3198.4074033670931</v>
      </c>
      <c r="J64" s="6">
        <f t="shared" si="6"/>
        <v>47.976111050506397</v>
      </c>
      <c r="K64">
        <f t="shared" si="7"/>
        <v>6000</v>
      </c>
      <c r="L64">
        <v>0</v>
      </c>
      <c r="M64" s="4">
        <f t="shared" si="8"/>
        <v>6047.976111050506</v>
      </c>
      <c r="N64" s="4">
        <f t="shared" si="9"/>
        <v>786.23689443656576</v>
      </c>
      <c r="O64" s="4">
        <f t="shared" si="10"/>
        <v>6.236894436565831</v>
      </c>
      <c r="P64">
        <f t="shared" si="11"/>
        <v>779.99999999999989</v>
      </c>
      <c r="Q64">
        <f t="shared" si="12"/>
        <v>0</v>
      </c>
      <c r="R64" s="4">
        <f t="shared" si="13"/>
        <v>3.8252344975194665</v>
      </c>
      <c r="S64" s="4">
        <f t="shared" si="14"/>
        <v>0.21829130527980412</v>
      </c>
      <c r="T64" s="4">
        <f t="shared" si="15"/>
        <v>27.299999999999997</v>
      </c>
      <c r="U64">
        <f t="shared" si="16"/>
        <v>0</v>
      </c>
      <c r="V64" s="4">
        <f t="shared" si="17"/>
        <v>31.343525802799267</v>
      </c>
      <c r="W64">
        <f t="shared" si="18"/>
        <v>0.06</v>
      </c>
      <c r="X64" s="4">
        <f t="shared" si="34"/>
        <v>191.26172487597333</v>
      </c>
      <c r="Y64" s="4">
        <f t="shared" si="19"/>
        <v>11.475703492558399</v>
      </c>
      <c r="Z64" s="4">
        <f t="shared" si="20"/>
        <v>211.12954718621418</v>
      </c>
      <c r="AA64" s="5">
        <f t="shared" si="21"/>
        <v>20</v>
      </c>
      <c r="AB64" s="5">
        <f t="shared" si="22"/>
        <v>4222.5909437242835</v>
      </c>
      <c r="AC64" s="5">
        <f t="shared" si="23"/>
        <v>120</v>
      </c>
      <c r="AD64" s="5">
        <f t="shared" si="24"/>
        <v>273</v>
      </c>
      <c r="AE64" s="5">
        <f t="shared" si="25"/>
        <v>200</v>
      </c>
      <c r="AF64" s="5">
        <f t="shared" si="26"/>
        <v>38.252344975194667</v>
      </c>
      <c r="AG64" s="5">
        <f t="shared" si="27"/>
        <v>631.25234497519466</v>
      </c>
      <c r="AH64" s="5">
        <f t="shared" si="28"/>
        <v>0</v>
      </c>
      <c r="AI64" s="5">
        <f t="shared" si="29"/>
        <v>0</v>
      </c>
      <c r="AJ64" s="5">
        <f t="shared" si="30"/>
        <v>1000</v>
      </c>
      <c r="AK64" s="5">
        <f t="shared" si="31"/>
        <v>1631.2523449751948</v>
      </c>
      <c r="AL64" s="5">
        <f t="shared" si="32"/>
        <v>2591.3385987490888</v>
      </c>
      <c r="AM64" s="5">
        <f t="shared" si="35"/>
        <v>7726.9677340805665</v>
      </c>
    </row>
    <row r="65" spans="1:39" x14ac:dyDescent="0.25">
      <c r="A65">
        <v>1</v>
      </c>
      <c r="B65">
        <v>10</v>
      </c>
      <c r="C65" s="4">
        <f t="shared" si="33"/>
        <v>1999.0046271044332</v>
      </c>
      <c r="D65" s="4">
        <f t="shared" si="0"/>
        <v>2158.924997272788</v>
      </c>
      <c r="E65">
        <f t="shared" si="1"/>
        <v>120</v>
      </c>
      <c r="F65" s="6">
        <f t="shared" si="2"/>
        <v>10362.839986909383</v>
      </c>
      <c r="G65" s="6">
        <f t="shared" si="3"/>
        <v>5181.4199934546914</v>
      </c>
      <c r="H65" s="6">
        <f t="shared" si="4"/>
        <v>15544.259980364073</v>
      </c>
      <c r="I65" s="6">
        <f t="shared" si="5"/>
        <v>3454.2799956364611</v>
      </c>
      <c r="J65" s="6">
        <f t="shared" si="6"/>
        <v>51.814199934546913</v>
      </c>
      <c r="K65">
        <f t="shared" si="7"/>
        <v>6000</v>
      </c>
      <c r="L65">
        <v>0</v>
      </c>
      <c r="M65" s="4">
        <f t="shared" si="8"/>
        <v>6051.8141999345471</v>
      </c>
      <c r="N65" s="4">
        <f t="shared" si="9"/>
        <v>786.73584599149115</v>
      </c>
      <c r="O65" s="4">
        <f t="shared" si="10"/>
        <v>6.7358459914910993</v>
      </c>
      <c r="P65">
        <f t="shared" si="11"/>
        <v>780.00000000000011</v>
      </c>
      <c r="Q65">
        <f t="shared" si="12"/>
        <v>0</v>
      </c>
      <c r="R65" s="4">
        <f t="shared" si="13"/>
        <v>4.2225909437242839</v>
      </c>
      <c r="S65" s="4">
        <f t="shared" si="14"/>
        <v>0.23575460970218851</v>
      </c>
      <c r="T65" s="4">
        <f t="shared" si="15"/>
        <v>27.300000000000008</v>
      </c>
      <c r="U65">
        <f t="shared" si="16"/>
        <v>0</v>
      </c>
      <c r="V65" s="4">
        <f t="shared" si="17"/>
        <v>31.75834555342648</v>
      </c>
      <c r="W65">
        <f t="shared" si="18"/>
        <v>0.06</v>
      </c>
      <c r="X65" s="4">
        <f t="shared" si="34"/>
        <v>211.12954718621418</v>
      </c>
      <c r="Y65" s="4">
        <f t="shared" si="19"/>
        <v>12.667772831172851</v>
      </c>
      <c r="Z65" s="4">
        <f t="shared" si="20"/>
        <v>230.22011990846784</v>
      </c>
      <c r="AA65" s="5">
        <f t="shared" si="21"/>
        <v>20</v>
      </c>
      <c r="AB65" s="5">
        <f t="shared" si="22"/>
        <v>4604.4023981693572</v>
      </c>
      <c r="AC65" s="5">
        <f t="shared" si="23"/>
        <v>120</v>
      </c>
      <c r="AD65" s="5">
        <f t="shared" si="24"/>
        <v>273.00000000000006</v>
      </c>
      <c r="AE65" s="5">
        <f t="shared" si="25"/>
        <v>200</v>
      </c>
      <c r="AF65" s="5">
        <f t="shared" si="26"/>
        <v>42.225909437242841</v>
      </c>
      <c r="AG65" s="5">
        <f t="shared" si="27"/>
        <v>635.22590943724288</v>
      </c>
      <c r="AH65" s="5">
        <f t="shared" si="28"/>
        <v>0</v>
      </c>
      <c r="AI65" s="5">
        <f t="shared" si="29"/>
        <v>0</v>
      </c>
      <c r="AJ65" s="5">
        <f t="shared" si="30"/>
        <v>1000</v>
      </c>
      <c r="AK65" s="5">
        <f t="shared" si="31"/>
        <v>1635.225909437243</v>
      </c>
      <c r="AL65" s="5">
        <f t="shared" si="32"/>
        <v>2969.1764887321142</v>
      </c>
      <c r="AM65" s="5">
        <f t="shared" si="35"/>
        <v>10696.14422281268</v>
      </c>
    </row>
    <row r="66" spans="1:39" x14ac:dyDescent="0.25">
      <c r="A66">
        <v>1</v>
      </c>
      <c r="B66">
        <v>11</v>
      </c>
      <c r="C66" s="4">
        <f t="shared" si="33"/>
        <v>2158.924997272788</v>
      </c>
      <c r="D66" s="4">
        <f t="shared" si="0"/>
        <v>2331.6389970546111</v>
      </c>
      <c r="E66">
        <f t="shared" si="1"/>
        <v>120</v>
      </c>
      <c r="F66" s="6">
        <f t="shared" si="2"/>
        <v>11191.867185862135</v>
      </c>
      <c r="G66" s="6">
        <f t="shared" si="3"/>
        <v>5595.9335929310673</v>
      </c>
      <c r="H66" s="6">
        <f t="shared" si="4"/>
        <v>16787.8007787932</v>
      </c>
      <c r="I66" s="6">
        <f t="shared" si="5"/>
        <v>3730.6223952873784</v>
      </c>
      <c r="J66" s="6">
        <f t="shared" si="6"/>
        <v>55.959335929310676</v>
      </c>
      <c r="K66">
        <f t="shared" si="7"/>
        <v>6000</v>
      </c>
      <c r="L66">
        <v>0</v>
      </c>
      <c r="M66" s="4">
        <f t="shared" si="8"/>
        <v>6055.9593359293103</v>
      </c>
      <c r="N66" s="4">
        <f t="shared" si="9"/>
        <v>787.27471367081034</v>
      </c>
      <c r="O66" s="4">
        <f t="shared" si="10"/>
        <v>7.2747136708103879</v>
      </c>
      <c r="P66">
        <f t="shared" si="11"/>
        <v>780</v>
      </c>
      <c r="Q66">
        <f t="shared" si="12"/>
        <v>0</v>
      </c>
      <c r="R66" s="4">
        <f t="shared" si="13"/>
        <v>4.6044023981693565</v>
      </c>
      <c r="S66" s="4">
        <f t="shared" si="14"/>
        <v>0.25461497847836362</v>
      </c>
      <c r="T66" s="4">
        <f t="shared" si="15"/>
        <v>27.300000000000004</v>
      </c>
      <c r="U66">
        <f t="shared" si="16"/>
        <v>0</v>
      </c>
      <c r="V66" s="4">
        <f t="shared" si="17"/>
        <v>32.159017376647725</v>
      </c>
      <c r="W66">
        <f t="shared" si="18"/>
        <v>0.06</v>
      </c>
      <c r="X66" s="4">
        <f t="shared" si="34"/>
        <v>230.22011990846784</v>
      </c>
      <c r="Y66" s="4">
        <f t="shared" si="19"/>
        <v>13.81320719450807</v>
      </c>
      <c r="Z66" s="4">
        <f t="shared" si="20"/>
        <v>248.56593009060748</v>
      </c>
      <c r="AA66" s="5">
        <f t="shared" si="21"/>
        <v>20</v>
      </c>
      <c r="AB66" s="5">
        <f t="shared" si="22"/>
        <v>4971.3186018121496</v>
      </c>
      <c r="AC66" s="5">
        <f t="shared" si="23"/>
        <v>120</v>
      </c>
      <c r="AD66" s="5">
        <f t="shared" si="24"/>
        <v>273.00000000000006</v>
      </c>
      <c r="AE66" s="5">
        <f t="shared" si="25"/>
        <v>200</v>
      </c>
      <c r="AF66" s="5">
        <f t="shared" si="26"/>
        <v>46.044023981693563</v>
      </c>
      <c r="AG66" s="5">
        <f t="shared" si="27"/>
        <v>639.04402398169361</v>
      </c>
      <c r="AH66" s="5">
        <f t="shared" si="28"/>
        <v>0</v>
      </c>
      <c r="AI66" s="5">
        <f t="shared" si="29"/>
        <v>0</v>
      </c>
      <c r="AJ66" s="5">
        <f t="shared" si="30"/>
        <v>1000</v>
      </c>
      <c r="AK66" s="5">
        <f t="shared" si="31"/>
        <v>1639.0440239816935</v>
      </c>
      <c r="AL66" s="5">
        <f t="shared" si="32"/>
        <v>3332.2745778304561</v>
      </c>
      <c r="AM66" s="5">
        <f t="shared" si="35"/>
        <v>14028.418800643136</v>
      </c>
    </row>
    <row r="67" spans="1:39" x14ac:dyDescent="0.25">
      <c r="A67">
        <v>1</v>
      </c>
      <c r="B67">
        <v>12</v>
      </c>
      <c r="C67" s="4">
        <f t="shared" si="33"/>
        <v>2331.6389970546111</v>
      </c>
      <c r="D67" s="4">
        <f t="shared" si="0"/>
        <v>2518.1701168189802</v>
      </c>
      <c r="E67">
        <f t="shared" si="1"/>
        <v>120</v>
      </c>
      <c r="F67" s="6">
        <f t="shared" si="2"/>
        <v>12087.216560731104</v>
      </c>
      <c r="G67" s="6">
        <f t="shared" si="3"/>
        <v>6043.6082803655518</v>
      </c>
      <c r="H67" s="6">
        <f t="shared" si="4"/>
        <v>18130.824841096655</v>
      </c>
      <c r="I67" s="6">
        <f t="shared" si="5"/>
        <v>4029.0721869103677</v>
      </c>
      <c r="J67" s="6">
        <f t="shared" si="6"/>
        <v>60.436082803655516</v>
      </c>
      <c r="K67">
        <f t="shared" si="7"/>
        <v>6000</v>
      </c>
      <c r="L67">
        <v>0</v>
      </c>
      <c r="M67" s="4">
        <f t="shared" si="8"/>
        <v>6060.4360828036552</v>
      </c>
      <c r="N67" s="4">
        <f t="shared" si="9"/>
        <v>787.85669076447516</v>
      </c>
      <c r="O67" s="4">
        <f t="shared" si="10"/>
        <v>7.8566907644752177</v>
      </c>
      <c r="P67">
        <f t="shared" si="11"/>
        <v>780</v>
      </c>
      <c r="Q67">
        <f t="shared" si="12"/>
        <v>0</v>
      </c>
      <c r="R67" s="4">
        <f t="shared" si="13"/>
        <v>4.9713186018121496</v>
      </c>
      <c r="S67" s="4">
        <f t="shared" si="14"/>
        <v>0.27498417675663267</v>
      </c>
      <c r="T67" s="4">
        <f t="shared" si="15"/>
        <v>27.300000000000004</v>
      </c>
      <c r="U67">
        <f t="shared" si="16"/>
        <v>0</v>
      </c>
      <c r="V67" s="4">
        <f t="shared" si="17"/>
        <v>32.546302778568787</v>
      </c>
      <c r="W67">
        <f t="shared" si="18"/>
        <v>0.06</v>
      </c>
      <c r="X67" s="4">
        <f t="shared" si="34"/>
        <v>248.56593009060748</v>
      </c>
      <c r="Y67" s="4">
        <f t="shared" si="19"/>
        <v>14.913955805436448</v>
      </c>
      <c r="Z67" s="4">
        <f t="shared" si="20"/>
        <v>266.19827706373985</v>
      </c>
      <c r="AA67" s="5">
        <f t="shared" si="21"/>
        <v>20</v>
      </c>
      <c r="AB67" s="5">
        <f t="shared" si="22"/>
        <v>5323.965541274797</v>
      </c>
      <c r="AC67" s="5">
        <f t="shared" si="23"/>
        <v>120</v>
      </c>
      <c r="AD67" s="5">
        <f t="shared" si="24"/>
        <v>273.00000000000006</v>
      </c>
      <c r="AE67" s="5">
        <f t="shared" si="25"/>
        <v>200</v>
      </c>
      <c r="AF67" s="5">
        <f t="shared" si="26"/>
        <v>49.713186018121498</v>
      </c>
      <c r="AG67" s="5">
        <f t="shared" si="27"/>
        <v>642.71318601812152</v>
      </c>
      <c r="AH67" s="5">
        <f t="shared" si="28"/>
        <v>2000</v>
      </c>
      <c r="AI67" s="5">
        <f t="shared" si="29"/>
        <v>0</v>
      </c>
      <c r="AJ67" s="5">
        <f t="shared" si="30"/>
        <v>1000</v>
      </c>
      <c r="AK67" s="5">
        <f t="shared" si="31"/>
        <v>3642.7131860181216</v>
      </c>
      <c r="AL67" s="5">
        <f t="shared" si="32"/>
        <v>1681.2523552566754</v>
      </c>
      <c r="AM67" s="5">
        <f t="shared" si="35"/>
        <v>15709.67115589981</v>
      </c>
    </row>
    <row r="68" spans="1:39" x14ac:dyDescent="0.25">
      <c r="A68">
        <v>2</v>
      </c>
      <c r="B68">
        <v>1</v>
      </c>
      <c r="C68" s="4">
        <f t="shared" si="33"/>
        <v>2518.1701168189802</v>
      </c>
      <c r="D68" s="4">
        <f t="shared" si="0"/>
        <v>2719.6237261644987</v>
      </c>
      <c r="E68">
        <f t="shared" si="1"/>
        <v>120</v>
      </c>
      <c r="F68" s="6">
        <f t="shared" si="2"/>
        <v>13054.193885589593</v>
      </c>
      <c r="G68" s="6">
        <f t="shared" si="3"/>
        <v>6527.0969427947966</v>
      </c>
      <c r="H68" s="6">
        <f t="shared" si="4"/>
        <v>19581.29082838439</v>
      </c>
      <c r="I68" s="6">
        <f t="shared" si="5"/>
        <v>4351.3979618631975</v>
      </c>
      <c r="J68" s="6">
        <f t="shared" si="6"/>
        <v>65.270969427947961</v>
      </c>
      <c r="K68">
        <f t="shared" si="7"/>
        <v>6000</v>
      </c>
      <c r="L68">
        <v>0</v>
      </c>
      <c r="M68" s="4">
        <f t="shared" si="8"/>
        <v>6065.2709694279483</v>
      </c>
      <c r="N68" s="4">
        <f t="shared" si="9"/>
        <v>788.48522602563332</v>
      </c>
      <c r="O68" s="4">
        <f t="shared" si="10"/>
        <v>8.485226025633235</v>
      </c>
      <c r="P68">
        <f t="shared" si="11"/>
        <v>780.00000000000011</v>
      </c>
      <c r="Q68">
        <f t="shared" si="12"/>
        <v>0</v>
      </c>
      <c r="R68" s="4">
        <f t="shared" si="13"/>
        <v>5.3239655412747968</v>
      </c>
      <c r="S68" s="4">
        <f t="shared" si="14"/>
        <v>0.29698291089716328</v>
      </c>
      <c r="T68" s="4">
        <f t="shared" si="15"/>
        <v>27.300000000000008</v>
      </c>
      <c r="U68">
        <f t="shared" si="16"/>
        <v>0</v>
      </c>
      <c r="V68" s="4">
        <f t="shared" si="17"/>
        <v>32.92094845217197</v>
      </c>
      <c r="W68">
        <f t="shared" si="18"/>
        <v>5.5E-2</v>
      </c>
      <c r="X68" s="4">
        <f t="shared" si="34"/>
        <v>266.19827706373985</v>
      </c>
      <c r="Y68" s="4">
        <f t="shared" si="19"/>
        <v>14.640905238505692</v>
      </c>
      <c r="Z68" s="4">
        <f t="shared" si="20"/>
        <v>284.47832027740611</v>
      </c>
      <c r="AA68" s="5">
        <f t="shared" si="21"/>
        <v>20</v>
      </c>
      <c r="AB68" s="5">
        <f t="shared" si="22"/>
        <v>5689.566405548122</v>
      </c>
      <c r="AC68" s="5">
        <f t="shared" si="23"/>
        <v>120</v>
      </c>
      <c r="AD68" s="5">
        <f t="shared" si="24"/>
        <v>273.00000000000006</v>
      </c>
      <c r="AE68" s="5">
        <f t="shared" si="25"/>
        <v>400</v>
      </c>
      <c r="AF68" s="5">
        <f t="shared" si="26"/>
        <v>53.239655412747965</v>
      </c>
      <c r="AG68" s="5">
        <f t="shared" si="27"/>
        <v>846.23965541274799</v>
      </c>
      <c r="AH68" s="5">
        <f t="shared" si="28"/>
        <v>2000</v>
      </c>
      <c r="AI68" s="5">
        <f t="shared" si="29"/>
        <v>0</v>
      </c>
      <c r="AJ68" s="5">
        <f t="shared" si="30"/>
        <v>1000</v>
      </c>
      <c r="AK68" s="5">
        <f t="shared" si="31"/>
        <v>3846.2396554127481</v>
      </c>
      <c r="AL68" s="5">
        <f t="shared" si="32"/>
        <v>1843.3267501353739</v>
      </c>
      <c r="AM68" s="5">
        <f t="shared" si="35"/>
        <v>17552.997906035183</v>
      </c>
    </row>
    <row r="69" spans="1:39" x14ac:dyDescent="0.25">
      <c r="A69">
        <v>2</v>
      </c>
      <c r="B69">
        <v>2</v>
      </c>
      <c r="C69" s="4">
        <f t="shared" si="33"/>
        <v>2719.6237261644987</v>
      </c>
      <c r="D69" s="4">
        <f t="shared" si="0"/>
        <v>2937.1936242576589</v>
      </c>
      <c r="E69">
        <f t="shared" si="1"/>
        <v>120</v>
      </c>
      <c r="F69" s="6">
        <f t="shared" si="2"/>
        <v>14098.529396436765</v>
      </c>
      <c r="G69" s="6">
        <f t="shared" si="3"/>
        <v>7049.2646982183824</v>
      </c>
      <c r="H69" s="6">
        <f t="shared" si="4"/>
        <v>21147.794094655146</v>
      </c>
      <c r="I69" s="6">
        <f t="shared" si="5"/>
        <v>4699.5097988122552</v>
      </c>
      <c r="J69" s="6">
        <f t="shared" si="6"/>
        <v>70.492646982183828</v>
      </c>
      <c r="K69">
        <f t="shared" si="7"/>
        <v>6000</v>
      </c>
      <c r="L69">
        <v>0</v>
      </c>
      <c r="M69" s="4">
        <f t="shared" si="8"/>
        <v>6070.4926469821839</v>
      </c>
      <c r="N69" s="4">
        <f t="shared" si="9"/>
        <v>789.16404410768394</v>
      </c>
      <c r="O69" s="4">
        <f t="shared" si="10"/>
        <v>9.1640441076838979</v>
      </c>
      <c r="P69">
        <f t="shared" si="11"/>
        <v>780</v>
      </c>
      <c r="Q69">
        <f t="shared" si="12"/>
        <v>0</v>
      </c>
      <c r="R69" s="4">
        <f t="shared" si="13"/>
        <v>5.6895664055481223</v>
      </c>
      <c r="S69" s="4">
        <f t="shared" si="14"/>
        <v>0.32074154376893643</v>
      </c>
      <c r="T69" s="4">
        <f t="shared" si="15"/>
        <v>27.300000000000004</v>
      </c>
      <c r="U69">
        <f t="shared" si="16"/>
        <v>0</v>
      </c>
      <c r="V69" s="4">
        <f t="shared" si="17"/>
        <v>33.310307949317064</v>
      </c>
      <c r="W69">
        <f t="shared" si="18"/>
        <v>5.5E-2</v>
      </c>
      <c r="X69" s="4">
        <f t="shared" si="34"/>
        <v>284.47832027740611</v>
      </c>
      <c r="Y69" s="4">
        <f t="shared" si="19"/>
        <v>15.646307615257337</v>
      </c>
      <c r="Z69" s="4">
        <f t="shared" si="20"/>
        <v>302.14232061146583</v>
      </c>
      <c r="AA69" s="5">
        <f t="shared" si="21"/>
        <v>20</v>
      </c>
      <c r="AB69" s="5">
        <f t="shared" si="22"/>
        <v>6042.8464122293171</v>
      </c>
      <c r="AC69" s="5">
        <f t="shared" si="23"/>
        <v>120</v>
      </c>
      <c r="AD69" s="5">
        <f t="shared" si="24"/>
        <v>273.00000000000006</v>
      </c>
      <c r="AE69" s="5">
        <f t="shared" si="25"/>
        <v>400</v>
      </c>
      <c r="AF69" s="5">
        <f t="shared" si="26"/>
        <v>56.89566405548122</v>
      </c>
      <c r="AG69" s="5">
        <f t="shared" si="27"/>
        <v>849.89566405548123</v>
      </c>
      <c r="AH69" s="5">
        <f t="shared" si="28"/>
        <v>2000</v>
      </c>
      <c r="AI69" s="5">
        <f t="shared" si="29"/>
        <v>0</v>
      </c>
      <c r="AJ69" s="5">
        <f t="shared" si="30"/>
        <v>1000</v>
      </c>
      <c r="AK69" s="5">
        <f t="shared" si="31"/>
        <v>3849.8956640554811</v>
      </c>
      <c r="AL69" s="5">
        <f t="shared" si="32"/>
        <v>2192.950748173836</v>
      </c>
      <c r="AM69" s="5">
        <f t="shared" si="35"/>
        <v>19745.94865420902</v>
      </c>
    </row>
    <row r="70" spans="1:39" x14ac:dyDescent="0.25">
      <c r="A70">
        <v>2</v>
      </c>
      <c r="B70">
        <v>3</v>
      </c>
      <c r="C70" s="4">
        <f t="shared" si="33"/>
        <v>2937.1936242576589</v>
      </c>
      <c r="D70" s="4">
        <f t="shared" si="0"/>
        <v>3172.1691141982719</v>
      </c>
      <c r="E70">
        <f t="shared" si="1"/>
        <v>120</v>
      </c>
      <c r="F70" s="6">
        <f t="shared" si="2"/>
        <v>15226.411748151704</v>
      </c>
      <c r="G70" s="6">
        <f t="shared" si="3"/>
        <v>7613.2058740758521</v>
      </c>
      <c r="H70" s="6">
        <f t="shared" si="4"/>
        <v>22839.617622227557</v>
      </c>
      <c r="I70" s="6">
        <f t="shared" si="5"/>
        <v>5075.4705827172347</v>
      </c>
      <c r="J70" s="6">
        <f t="shared" si="6"/>
        <v>76.132058740758524</v>
      </c>
      <c r="K70">
        <f t="shared" si="7"/>
        <v>6000</v>
      </c>
      <c r="L70">
        <v>0</v>
      </c>
      <c r="M70" s="4">
        <f t="shared" si="8"/>
        <v>6076.1320587407581</v>
      </c>
      <c r="N70" s="4">
        <f t="shared" si="9"/>
        <v>789.8971676362986</v>
      </c>
      <c r="O70" s="4">
        <f t="shared" si="10"/>
        <v>9.8971676362986098</v>
      </c>
      <c r="P70">
        <f t="shared" si="11"/>
        <v>780</v>
      </c>
      <c r="Q70">
        <f t="shared" si="12"/>
        <v>0</v>
      </c>
      <c r="R70" s="4">
        <f t="shared" si="13"/>
        <v>6.0428464122293164</v>
      </c>
      <c r="S70" s="4">
        <f t="shared" si="14"/>
        <v>0.34640086727045138</v>
      </c>
      <c r="T70" s="4">
        <f t="shared" si="15"/>
        <v>27.300000000000004</v>
      </c>
      <c r="U70">
        <f t="shared" si="16"/>
        <v>0</v>
      </c>
      <c r="V70" s="4">
        <f t="shared" si="17"/>
        <v>33.689247279499774</v>
      </c>
      <c r="W70">
        <f t="shared" si="18"/>
        <v>5.5E-2</v>
      </c>
      <c r="X70" s="4">
        <f t="shared" si="34"/>
        <v>302.14232061146583</v>
      </c>
      <c r="Y70" s="4">
        <f t="shared" si="19"/>
        <v>16.617827633630622</v>
      </c>
      <c r="Z70" s="4">
        <f t="shared" si="20"/>
        <v>319.21374025733502</v>
      </c>
      <c r="AA70" s="5">
        <f t="shared" si="21"/>
        <v>20</v>
      </c>
      <c r="AB70" s="5">
        <f t="shared" si="22"/>
        <v>6384.2748051467006</v>
      </c>
      <c r="AC70" s="5">
        <f t="shared" si="23"/>
        <v>120</v>
      </c>
      <c r="AD70" s="5">
        <f t="shared" si="24"/>
        <v>273.00000000000006</v>
      </c>
      <c r="AE70" s="5">
        <f t="shared" si="25"/>
        <v>400</v>
      </c>
      <c r="AF70" s="5">
        <f t="shared" si="26"/>
        <v>60.428464122293164</v>
      </c>
      <c r="AG70" s="5">
        <f t="shared" si="27"/>
        <v>853.42846412229312</v>
      </c>
      <c r="AH70" s="5">
        <f t="shared" si="28"/>
        <v>2000</v>
      </c>
      <c r="AI70" s="5">
        <f t="shared" si="29"/>
        <v>0</v>
      </c>
      <c r="AJ70" s="5">
        <f t="shared" si="30"/>
        <v>1000</v>
      </c>
      <c r="AK70" s="5">
        <f t="shared" si="31"/>
        <v>3853.428464122293</v>
      </c>
      <c r="AL70" s="5">
        <f t="shared" si="32"/>
        <v>2530.8463410244076</v>
      </c>
      <c r="AM70" s="5">
        <f t="shared" si="35"/>
        <v>22276.794995233427</v>
      </c>
    </row>
    <row r="71" spans="1:39" x14ac:dyDescent="0.25">
      <c r="A71">
        <v>2</v>
      </c>
      <c r="B71">
        <v>4</v>
      </c>
      <c r="C71" s="4">
        <f t="shared" si="33"/>
        <v>3172.1691141982719</v>
      </c>
      <c r="D71" s="4">
        <f t="shared" si="0"/>
        <v>3425.9426433341341</v>
      </c>
      <c r="E71">
        <f t="shared" si="1"/>
        <v>120</v>
      </c>
      <c r="F71" s="6">
        <f t="shared" si="2"/>
        <v>16444.524688003843</v>
      </c>
      <c r="G71" s="6">
        <f t="shared" si="3"/>
        <v>8222.2623440019215</v>
      </c>
      <c r="H71" s="6">
        <f t="shared" si="4"/>
        <v>24666.787032005763</v>
      </c>
      <c r="I71" s="6">
        <f t="shared" si="5"/>
        <v>5481.508229334614</v>
      </c>
      <c r="J71" s="6">
        <f t="shared" si="6"/>
        <v>82.222623440019206</v>
      </c>
      <c r="K71">
        <f t="shared" si="7"/>
        <v>6000</v>
      </c>
      <c r="L71">
        <v>0</v>
      </c>
      <c r="M71" s="4">
        <f t="shared" si="8"/>
        <v>6082.2226234400196</v>
      </c>
      <c r="N71" s="4">
        <f t="shared" si="9"/>
        <v>790.68894104720255</v>
      </c>
      <c r="O71" s="4">
        <f t="shared" si="10"/>
        <v>10.688941047202498</v>
      </c>
      <c r="P71">
        <f t="shared" si="11"/>
        <v>780</v>
      </c>
      <c r="Q71">
        <f t="shared" si="12"/>
        <v>0</v>
      </c>
      <c r="R71" s="4">
        <f t="shared" si="13"/>
        <v>6.3842748051467009</v>
      </c>
      <c r="S71" s="4">
        <f t="shared" si="14"/>
        <v>0.37411293665208745</v>
      </c>
      <c r="T71" s="4">
        <f t="shared" si="15"/>
        <v>27.300000000000004</v>
      </c>
      <c r="U71">
        <f t="shared" si="16"/>
        <v>0</v>
      </c>
      <c r="V71" s="4">
        <f t="shared" si="17"/>
        <v>34.058387741798796</v>
      </c>
      <c r="W71">
        <f t="shared" si="18"/>
        <v>5.5E-2</v>
      </c>
      <c r="X71" s="4">
        <f t="shared" si="34"/>
        <v>319.21374025733502</v>
      </c>
      <c r="Y71" s="4">
        <f t="shared" si="19"/>
        <v>17.556755714153425</v>
      </c>
      <c r="Z71" s="4">
        <f t="shared" si="20"/>
        <v>335.71537228498039</v>
      </c>
      <c r="AA71" s="5">
        <f t="shared" si="21"/>
        <v>20</v>
      </c>
      <c r="AB71" s="5">
        <f t="shared" si="22"/>
        <v>6714.3074456996073</v>
      </c>
      <c r="AC71" s="5">
        <f t="shared" si="23"/>
        <v>120</v>
      </c>
      <c r="AD71" s="5">
        <f t="shared" si="24"/>
        <v>273.00000000000006</v>
      </c>
      <c r="AE71" s="5">
        <f t="shared" si="25"/>
        <v>400</v>
      </c>
      <c r="AF71" s="5">
        <f t="shared" si="26"/>
        <v>63.842748051467012</v>
      </c>
      <c r="AG71" s="5">
        <f t="shared" si="27"/>
        <v>856.84274805146697</v>
      </c>
      <c r="AH71" s="5">
        <f t="shared" si="28"/>
        <v>2000</v>
      </c>
      <c r="AI71" s="5">
        <f t="shared" si="29"/>
        <v>0</v>
      </c>
      <c r="AJ71" s="5">
        <f t="shared" si="30"/>
        <v>1000</v>
      </c>
      <c r="AK71" s="5">
        <f t="shared" si="31"/>
        <v>3856.842748051467</v>
      </c>
      <c r="AL71" s="5">
        <f t="shared" si="32"/>
        <v>2857.4646976481404</v>
      </c>
      <c r="AM71" s="5">
        <f t="shared" si="35"/>
        <v>25134.259692881569</v>
      </c>
    </row>
    <row r="72" spans="1:39" x14ac:dyDescent="0.25">
      <c r="A72">
        <v>2</v>
      </c>
      <c r="B72">
        <v>5</v>
      </c>
      <c r="C72" s="4">
        <f t="shared" si="33"/>
        <v>3425.9426433341341</v>
      </c>
      <c r="D72" s="4">
        <f t="shared" si="0"/>
        <v>3700.0180548008652</v>
      </c>
      <c r="E72">
        <f t="shared" si="1"/>
        <v>120</v>
      </c>
      <c r="F72" s="6">
        <f t="shared" si="2"/>
        <v>17760.086663044152</v>
      </c>
      <c r="G72" s="6">
        <f t="shared" si="3"/>
        <v>8880.0433315220762</v>
      </c>
      <c r="H72" s="6">
        <f t="shared" si="4"/>
        <v>26640.129994566229</v>
      </c>
      <c r="I72" s="6">
        <f t="shared" si="5"/>
        <v>5920.0288876813838</v>
      </c>
      <c r="J72" s="6">
        <f t="shared" si="6"/>
        <v>88.800433315220758</v>
      </c>
      <c r="K72">
        <f t="shared" si="7"/>
        <v>6000</v>
      </c>
      <c r="L72">
        <v>0</v>
      </c>
      <c r="M72" s="4">
        <f t="shared" si="8"/>
        <v>6088.8004333152212</v>
      </c>
      <c r="N72" s="4">
        <f t="shared" si="9"/>
        <v>791.54405633097883</v>
      </c>
      <c r="O72" s="4">
        <f t="shared" si="10"/>
        <v>11.5440563309787</v>
      </c>
      <c r="P72">
        <f t="shared" si="11"/>
        <v>780.00000000000011</v>
      </c>
      <c r="Q72">
        <f t="shared" si="12"/>
        <v>0</v>
      </c>
      <c r="R72" s="4">
        <f t="shared" si="13"/>
        <v>6.7143074456996077</v>
      </c>
      <c r="S72" s="4">
        <f t="shared" si="14"/>
        <v>0.40404197158425453</v>
      </c>
      <c r="T72" s="4">
        <f t="shared" si="15"/>
        <v>27.300000000000008</v>
      </c>
      <c r="U72">
        <f t="shared" si="16"/>
        <v>0</v>
      </c>
      <c r="V72" s="4">
        <f t="shared" si="17"/>
        <v>34.418349417283871</v>
      </c>
      <c r="W72">
        <f t="shared" si="18"/>
        <v>5.5E-2</v>
      </c>
      <c r="X72" s="4">
        <f t="shared" si="34"/>
        <v>335.71537228498039</v>
      </c>
      <c r="Y72" s="4">
        <f t="shared" si="19"/>
        <v>18.464345475673923</v>
      </c>
      <c r="Z72" s="4">
        <f t="shared" si="20"/>
        <v>351.66937622659037</v>
      </c>
      <c r="AA72" s="5">
        <f t="shared" si="21"/>
        <v>20</v>
      </c>
      <c r="AB72" s="5">
        <f t="shared" si="22"/>
        <v>7033.3875245318077</v>
      </c>
      <c r="AC72" s="5">
        <f t="shared" si="23"/>
        <v>120</v>
      </c>
      <c r="AD72" s="5">
        <f t="shared" si="24"/>
        <v>273.00000000000006</v>
      </c>
      <c r="AE72" s="5">
        <f t="shared" si="25"/>
        <v>400</v>
      </c>
      <c r="AF72" s="5">
        <f t="shared" si="26"/>
        <v>67.143074456996075</v>
      </c>
      <c r="AG72" s="5">
        <f t="shared" si="27"/>
        <v>860.14307445699603</v>
      </c>
      <c r="AH72" s="5">
        <f t="shared" si="28"/>
        <v>2000</v>
      </c>
      <c r="AI72" s="5">
        <f t="shared" si="29"/>
        <v>0</v>
      </c>
      <c r="AJ72" s="5">
        <f t="shared" si="30"/>
        <v>1000</v>
      </c>
      <c r="AK72" s="5">
        <f t="shared" si="31"/>
        <v>3860.1430744569961</v>
      </c>
      <c r="AL72" s="5">
        <f t="shared" si="32"/>
        <v>3173.2444500748115</v>
      </c>
      <c r="AM72" s="5">
        <f t="shared" si="35"/>
        <v>28307.504142956379</v>
      </c>
    </row>
    <row r="73" spans="1:39" x14ac:dyDescent="0.25">
      <c r="A73">
        <v>2</v>
      </c>
      <c r="B73">
        <v>6</v>
      </c>
      <c r="C73" s="4">
        <f t="shared" si="33"/>
        <v>3700.0180548008652</v>
      </c>
      <c r="D73" s="4">
        <f t="shared" si="0"/>
        <v>3996.0194991849348</v>
      </c>
      <c r="E73">
        <f t="shared" si="1"/>
        <v>120</v>
      </c>
      <c r="F73" s="6">
        <f t="shared" si="2"/>
        <v>19180.893596087688</v>
      </c>
      <c r="G73" s="6">
        <f t="shared" si="3"/>
        <v>9590.446798043844</v>
      </c>
      <c r="H73" s="6">
        <f t="shared" si="4"/>
        <v>28771.340394131534</v>
      </c>
      <c r="I73" s="6">
        <f t="shared" si="5"/>
        <v>6393.6311986958963</v>
      </c>
      <c r="J73" s="6">
        <f t="shared" si="6"/>
        <v>95.90446798043844</v>
      </c>
      <c r="K73">
        <f t="shared" si="7"/>
        <v>6000</v>
      </c>
      <c r="L73">
        <v>0</v>
      </c>
      <c r="M73" s="4">
        <f t="shared" si="8"/>
        <v>6095.9044679804383</v>
      </c>
      <c r="N73" s="4">
        <f t="shared" si="9"/>
        <v>792.46758083745704</v>
      </c>
      <c r="O73" s="4">
        <f t="shared" si="10"/>
        <v>12.467580837456998</v>
      </c>
      <c r="P73">
        <f t="shared" si="11"/>
        <v>780</v>
      </c>
      <c r="Q73">
        <f t="shared" si="12"/>
        <v>0</v>
      </c>
      <c r="R73" s="4">
        <f t="shared" si="13"/>
        <v>7.0333875245318076</v>
      </c>
      <c r="S73" s="4">
        <f t="shared" si="14"/>
        <v>0.43636532931099498</v>
      </c>
      <c r="T73" s="4">
        <f t="shared" si="15"/>
        <v>27.300000000000004</v>
      </c>
      <c r="U73">
        <f t="shared" si="16"/>
        <v>0</v>
      </c>
      <c r="V73" s="4">
        <f t="shared" si="17"/>
        <v>34.769752853842803</v>
      </c>
      <c r="W73">
        <f t="shared" si="18"/>
        <v>5.5E-2</v>
      </c>
      <c r="X73" s="4">
        <f t="shared" si="34"/>
        <v>351.66937622659037</v>
      </c>
      <c r="Y73" s="4">
        <f t="shared" si="19"/>
        <v>19.341815692462472</v>
      </c>
      <c r="Z73" s="4">
        <f t="shared" si="20"/>
        <v>367.0973133879707</v>
      </c>
      <c r="AA73" s="5">
        <f t="shared" si="21"/>
        <v>20</v>
      </c>
      <c r="AB73" s="5">
        <f t="shared" si="22"/>
        <v>7341.9462677594138</v>
      </c>
      <c r="AC73" s="5">
        <f t="shared" si="23"/>
        <v>120</v>
      </c>
      <c r="AD73" s="5">
        <f t="shared" si="24"/>
        <v>273.00000000000006</v>
      </c>
      <c r="AE73" s="5">
        <f t="shared" si="25"/>
        <v>400</v>
      </c>
      <c r="AF73" s="5">
        <f t="shared" si="26"/>
        <v>70.333875245318069</v>
      </c>
      <c r="AG73" s="5">
        <f t="shared" si="27"/>
        <v>863.33387524531804</v>
      </c>
      <c r="AH73" s="5">
        <f t="shared" si="28"/>
        <v>2000</v>
      </c>
      <c r="AI73" s="5">
        <f t="shared" si="29"/>
        <v>0</v>
      </c>
      <c r="AJ73" s="5">
        <f t="shared" si="30"/>
        <v>1000</v>
      </c>
      <c r="AK73" s="5">
        <f t="shared" si="31"/>
        <v>3863.3338752453183</v>
      </c>
      <c r="AL73" s="5">
        <f t="shared" si="32"/>
        <v>3478.6123925140955</v>
      </c>
      <c r="AM73" s="5">
        <f t="shared" si="35"/>
        <v>31786.116535470475</v>
      </c>
    </row>
    <row r="74" spans="1:39" x14ac:dyDescent="0.25">
      <c r="A74">
        <v>2</v>
      </c>
      <c r="B74">
        <v>7</v>
      </c>
      <c r="C74" s="4">
        <f t="shared" si="33"/>
        <v>3996.0194991849348</v>
      </c>
      <c r="D74" s="4">
        <f t="shared" si="0"/>
        <v>4315.7010591197295</v>
      </c>
      <c r="E74">
        <f t="shared" si="1"/>
        <v>120</v>
      </c>
      <c r="F74" s="6">
        <f t="shared" si="2"/>
        <v>20715.365083774701</v>
      </c>
      <c r="G74" s="6">
        <f t="shared" si="3"/>
        <v>10357.68254188735</v>
      </c>
      <c r="H74" s="6">
        <f t="shared" si="4"/>
        <v>31073.047625662053</v>
      </c>
      <c r="I74" s="6">
        <f t="shared" si="5"/>
        <v>6905.1216945915667</v>
      </c>
      <c r="J74" s="6">
        <f t="shared" si="6"/>
        <v>103.5768254188735</v>
      </c>
      <c r="K74">
        <f t="shared" si="7"/>
        <v>6000</v>
      </c>
      <c r="L74">
        <v>0</v>
      </c>
      <c r="M74" s="4">
        <f t="shared" si="8"/>
        <v>6103.5768254188733</v>
      </c>
      <c r="N74" s="4">
        <f t="shared" si="9"/>
        <v>793.46498730445353</v>
      </c>
      <c r="O74" s="4">
        <f t="shared" si="10"/>
        <v>13.464987304453555</v>
      </c>
      <c r="P74">
        <f t="shared" si="11"/>
        <v>780</v>
      </c>
      <c r="Q74">
        <f t="shared" si="12"/>
        <v>0</v>
      </c>
      <c r="R74" s="4">
        <f t="shared" si="13"/>
        <v>7.3419462677594138</v>
      </c>
      <c r="S74" s="4">
        <f t="shared" si="14"/>
        <v>0.47127455565587445</v>
      </c>
      <c r="T74" s="4">
        <f t="shared" si="15"/>
        <v>27.300000000000004</v>
      </c>
      <c r="U74">
        <f t="shared" si="16"/>
        <v>0</v>
      </c>
      <c r="V74" s="4">
        <f t="shared" si="17"/>
        <v>35.11322082341529</v>
      </c>
      <c r="W74">
        <f t="shared" si="18"/>
        <v>5.5E-2</v>
      </c>
      <c r="X74" s="4">
        <f t="shared" si="34"/>
        <v>367.0973133879707</v>
      </c>
      <c r="Y74" s="4">
        <f t="shared" si="19"/>
        <v>20.190352236338388</v>
      </c>
      <c r="Z74" s="4">
        <f t="shared" si="20"/>
        <v>382.02018197504759</v>
      </c>
      <c r="AA74" s="5">
        <f t="shared" si="21"/>
        <v>20</v>
      </c>
      <c r="AB74" s="5">
        <f t="shared" si="22"/>
        <v>7640.4036395009516</v>
      </c>
      <c r="AC74" s="5">
        <f t="shared" si="23"/>
        <v>120</v>
      </c>
      <c r="AD74" s="5">
        <f t="shared" si="24"/>
        <v>273.00000000000006</v>
      </c>
      <c r="AE74" s="5">
        <f t="shared" si="25"/>
        <v>400</v>
      </c>
      <c r="AF74" s="5">
        <f t="shared" si="26"/>
        <v>73.41946267759414</v>
      </c>
      <c r="AG74" s="5">
        <f t="shared" si="27"/>
        <v>866.41946267759408</v>
      </c>
      <c r="AH74" s="5">
        <f t="shared" si="28"/>
        <v>2000</v>
      </c>
      <c r="AI74" s="5">
        <f t="shared" si="29"/>
        <v>0</v>
      </c>
      <c r="AJ74" s="5">
        <f t="shared" si="30"/>
        <v>1000</v>
      </c>
      <c r="AK74" s="5">
        <f t="shared" si="31"/>
        <v>3866.4194626775943</v>
      </c>
      <c r="AL74" s="5">
        <f t="shared" si="32"/>
        <v>3773.9841768233573</v>
      </c>
      <c r="AM74" s="5">
        <f t="shared" si="35"/>
        <v>35560.100712293832</v>
      </c>
    </row>
    <row r="75" spans="1:39" x14ac:dyDescent="0.25">
      <c r="A75">
        <v>2</v>
      </c>
      <c r="B75">
        <v>8</v>
      </c>
      <c r="C75" s="4">
        <f t="shared" si="33"/>
        <v>4315.7010591197295</v>
      </c>
      <c r="D75" s="4">
        <f t="shared" si="0"/>
        <v>4660.9571438493085</v>
      </c>
      <c r="E75">
        <f t="shared" si="1"/>
        <v>120</v>
      </c>
      <c r="F75" s="6">
        <f t="shared" si="2"/>
        <v>22372.594290476678</v>
      </c>
      <c r="G75" s="6">
        <f t="shared" si="3"/>
        <v>11186.297145238339</v>
      </c>
      <c r="H75" s="6">
        <f t="shared" si="4"/>
        <v>33558.891435715021</v>
      </c>
      <c r="I75" s="6">
        <f t="shared" si="5"/>
        <v>7457.5314301588924</v>
      </c>
      <c r="J75" s="6">
        <f t="shared" si="6"/>
        <v>111.86297145238338</v>
      </c>
      <c r="K75">
        <f t="shared" si="7"/>
        <v>6000</v>
      </c>
      <c r="L75">
        <v>0</v>
      </c>
      <c r="M75" s="4">
        <f t="shared" si="8"/>
        <v>6111.8629714523831</v>
      </c>
      <c r="N75" s="4">
        <f t="shared" si="9"/>
        <v>794.54218628880983</v>
      </c>
      <c r="O75" s="4">
        <f t="shared" si="10"/>
        <v>14.542186288809839</v>
      </c>
      <c r="P75">
        <f t="shared" si="11"/>
        <v>780.00000000000011</v>
      </c>
      <c r="Q75">
        <f t="shared" si="12"/>
        <v>0</v>
      </c>
      <c r="R75" s="4">
        <f t="shared" si="13"/>
        <v>7.6404036395009518</v>
      </c>
      <c r="S75" s="4">
        <f t="shared" si="14"/>
        <v>0.50897652010834438</v>
      </c>
      <c r="T75" s="4">
        <f t="shared" si="15"/>
        <v>27.300000000000008</v>
      </c>
      <c r="U75">
        <f t="shared" si="16"/>
        <v>0</v>
      </c>
      <c r="V75" s="4">
        <f t="shared" si="17"/>
        <v>35.449380159609305</v>
      </c>
      <c r="W75">
        <f t="shared" si="18"/>
        <v>5.5E-2</v>
      </c>
      <c r="X75" s="4">
        <f t="shared" si="34"/>
        <v>382.02018197504759</v>
      </c>
      <c r="Y75" s="4">
        <f t="shared" si="19"/>
        <v>21.011110008627618</v>
      </c>
      <c r="Z75" s="4">
        <f t="shared" si="20"/>
        <v>396.45845212602927</v>
      </c>
      <c r="AA75" s="5">
        <f t="shared" si="21"/>
        <v>20</v>
      </c>
      <c r="AB75" s="5">
        <f t="shared" si="22"/>
        <v>7929.1690425205852</v>
      </c>
      <c r="AC75" s="5">
        <f t="shared" si="23"/>
        <v>120</v>
      </c>
      <c r="AD75" s="5">
        <f t="shared" si="24"/>
        <v>273.00000000000006</v>
      </c>
      <c r="AE75" s="5">
        <f t="shared" si="25"/>
        <v>400</v>
      </c>
      <c r="AF75" s="5">
        <f t="shared" si="26"/>
        <v>76.404036395009513</v>
      </c>
      <c r="AG75" s="5">
        <f t="shared" si="27"/>
        <v>869.40403639500948</v>
      </c>
      <c r="AH75" s="5">
        <f t="shared" si="28"/>
        <v>2000</v>
      </c>
      <c r="AI75" s="5">
        <f t="shared" si="29"/>
        <v>0</v>
      </c>
      <c r="AJ75" s="5">
        <f t="shared" si="30"/>
        <v>1000</v>
      </c>
      <c r="AK75" s="5">
        <f t="shared" si="31"/>
        <v>3869.4040363950094</v>
      </c>
      <c r="AL75" s="5">
        <f t="shared" si="32"/>
        <v>4059.7650061255758</v>
      </c>
      <c r="AM75" s="5">
        <f t="shared" si="35"/>
        <v>39619.865718419409</v>
      </c>
    </row>
    <row r="76" spans="1:39" x14ac:dyDescent="0.25">
      <c r="A76">
        <v>2</v>
      </c>
      <c r="B76">
        <v>9</v>
      </c>
      <c r="C76" s="4">
        <f t="shared" si="33"/>
        <v>4660.9571438493085</v>
      </c>
      <c r="D76" s="4">
        <f t="shared" si="0"/>
        <v>5033.8337153572538</v>
      </c>
      <c r="E76">
        <f t="shared" si="1"/>
        <v>120</v>
      </c>
      <c r="F76" s="6">
        <f t="shared" si="2"/>
        <v>24162.401833714819</v>
      </c>
      <c r="G76" s="6">
        <f t="shared" si="3"/>
        <v>12081.20091685741</v>
      </c>
      <c r="H76" s="6">
        <f t="shared" si="4"/>
        <v>36243.60275057223</v>
      </c>
      <c r="I76" s="6">
        <f t="shared" si="5"/>
        <v>8054.1339445716067</v>
      </c>
      <c r="J76" s="6">
        <f t="shared" si="6"/>
        <v>120.81200916857409</v>
      </c>
      <c r="K76">
        <f t="shared" si="7"/>
        <v>6000</v>
      </c>
      <c r="L76">
        <v>0</v>
      </c>
      <c r="M76" s="4">
        <f t="shared" si="8"/>
        <v>6120.8120091685741</v>
      </c>
      <c r="N76" s="4">
        <f t="shared" si="9"/>
        <v>795.70556119191463</v>
      </c>
      <c r="O76" s="4">
        <f t="shared" si="10"/>
        <v>15.705561191914631</v>
      </c>
      <c r="P76">
        <f t="shared" si="11"/>
        <v>780</v>
      </c>
      <c r="Q76">
        <f t="shared" si="12"/>
        <v>0</v>
      </c>
      <c r="R76" s="4">
        <f t="shared" si="13"/>
        <v>7.9291690425205852</v>
      </c>
      <c r="S76" s="4">
        <f t="shared" si="14"/>
        <v>0.5496946417170121</v>
      </c>
      <c r="T76" s="4">
        <f t="shared" si="15"/>
        <v>27.300000000000004</v>
      </c>
      <c r="U76">
        <f t="shared" si="16"/>
        <v>0</v>
      </c>
      <c r="V76" s="4">
        <f t="shared" si="17"/>
        <v>35.778863684237599</v>
      </c>
      <c r="W76">
        <f t="shared" si="18"/>
        <v>5.5E-2</v>
      </c>
      <c r="X76" s="4">
        <f t="shared" si="34"/>
        <v>396.45845212602927</v>
      </c>
      <c r="Y76" s="4">
        <f t="shared" si="19"/>
        <v>21.80521486693161</v>
      </c>
      <c r="Z76" s="4">
        <f t="shared" si="20"/>
        <v>410.43210094333523</v>
      </c>
      <c r="AA76" s="5">
        <f t="shared" si="21"/>
        <v>20</v>
      </c>
      <c r="AB76" s="5">
        <f t="shared" si="22"/>
        <v>8208.6420188667053</v>
      </c>
      <c r="AC76" s="5">
        <f t="shared" si="23"/>
        <v>120</v>
      </c>
      <c r="AD76" s="5">
        <f t="shared" si="24"/>
        <v>273.00000000000006</v>
      </c>
      <c r="AE76" s="5">
        <f t="shared" si="25"/>
        <v>400</v>
      </c>
      <c r="AF76" s="5">
        <f t="shared" si="26"/>
        <v>79.291690425205857</v>
      </c>
      <c r="AG76" s="5">
        <f t="shared" si="27"/>
        <v>872.29169042520584</v>
      </c>
      <c r="AH76" s="5">
        <f t="shared" si="28"/>
        <v>2000</v>
      </c>
      <c r="AI76" s="5">
        <f t="shared" si="29"/>
        <v>0</v>
      </c>
      <c r="AJ76" s="5">
        <f t="shared" si="30"/>
        <v>1000</v>
      </c>
      <c r="AK76" s="5">
        <f t="shared" si="31"/>
        <v>3872.2916904252061</v>
      </c>
      <c r="AL76" s="5">
        <f t="shared" si="32"/>
        <v>4336.3503284414992</v>
      </c>
      <c r="AM76" s="5">
        <f t="shared" si="35"/>
        <v>43956.216046860907</v>
      </c>
    </row>
    <row r="77" spans="1:39" x14ac:dyDescent="0.25">
      <c r="A77">
        <v>2</v>
      </c>
      <c r="B77">
        <v>10</v>
      </c>
      <c r="C77" s="4">
        <f t="shared" si="33"/>
        <v>5033.8337153572538</v>
      </c>
      <c r="D77" s="4">
        <f t="shared" si="0"/>
        <v>5436.5404125858349</v>
      </c>
      <c r="E77">
        <f t="shared" si="1"/>
        <v>120</v>
      </c>
      <c r="F77" s="6">
        <f t="shared" si="2"/>
        <v>26095.393980412009</v>
      </c>
      <c r="G77" s="6">
        <f t="shared" si="3"/>
        <v>13047.696990206005</v>
      </c>
      <c r="H77" s="6">
        <f t="shared" si="4"/>
        <v>39143.09097061801</v>
      </c>
      <c r="I77" s="6">
        <f t="shared" si="5"/>
        <v>8698.464660137337</v>
      </c>
      <c r="J77" s="6">
        <f t="shared" si="6"/>
        <v>130.47696990206006</v>
      </c>
      <c r="K77">
        <f t="shared" si="7"/>
        <v>6000</v>
      </c>
      <c r="L77">
        <v>0</v>
      </c>
      <c r="M77" s="4">
        <f t="shared" si="8"/>
        <v>6130.4769699020599</v>
      </c>
      <c r="N77" s="4">
        <f t="shared" si="9"/>
        <v>796.96200608726781</v>
      </c>
      <c r="O77" s="4">
        <f t="shared" si="10"/>
        <v>16.96200608726781</v>
      </c>
      <c r="P77">
        <f t="shared" si="11"/>
        <v>780</v>
      </c>
      <c r="Q77">
        <f t="shared" si="12"/>
        <v>0</v>
      </c>
      <c r="R77" s="4">
        <f t="shared" si="13"/>
        <v>8.2086420188667049</v>
      </c>
      <c r="S77" s="4">
        <f t="shared" si="14"/>
        <v>0.5936702130543734</v>
      </c>
      <c r="T77" s="4">
        <f t="shared" si="15"/>
        <v>27.300000000000004</v>
      </c>
      <c r="U77">
        <f t="shared" si="16"/>
        <v>0</v>
      </c>
      <c r="V77" s="4">
        <f t="shared" si="17"/>
        <v>36.102312231921083</v>
      </c>
      <c r="W77">
        <f t="shared" si="18"/>
        <v>5.5E-2</v>
      </c>
      <c r="X77" s="4">
        <f t="shared" si="34"/>
        <v>410.43210094333523</v>
      </c>
      <c r="Y77" s="4">
        <f t="shared" si="19"/>
        <v>22.573765551883437</v>
      </c>
      <c r="Z77" s="4">
        <f t="shared" si="20"/>
        <v>423.96064762337289</v>
      </c>
      <c r="AA77" s="5">
        <f t="shared" si="21"/>
        <v>20</v>
      </c>
      <c r="AB77" s="5">
        <f t="shared" si="22"/>
        <v>8479.2129524674583</v>
      </c>
      <c r="AC77" s="5">
        <f t="shared" si="23"/>
        <v>120</v>
      </c>
      <c r="AD77" s="5">
        <f t="shared" si="24"/>
        <v>273.00000000000006</v>
      </c>
      <c r="AE77" s="5">
        <f t="shared" si="25"/>
        <v>400</v>
      </c>
      <c r="AF77" s="5">
        <f t="shared" si="26"/>
        <v>82.086420188667049</v>
      </c>
      <c r="AG77" s="5">
        <f t="shared" si="27"/>
        <v>875.08642018866703</v>
      </c>
      <c r="AH77" s="5">
        <f t="shared" si="28"/>
        <v>2000</v>
      </c>
      <c r="AI77" s="5">
        <f t="shared" si="29"/>
        <v>0</v>
      </c>
      <c r="AJ77" s="5">
        <f t="shared" si="30"/>
        <v>1000</v>
      </c>
      <c r="AK77" s="5">
        <f t="shared" si="31"/>
        <v>3875.086420188667</v>
      </c>
      <c r="AL77" s="5">
        <f t="shared" si="32"/>
        <v>4604.1265322787913</v>
      </c>
      <c r="AM77" s="5">
        <f t="shared" si="35"/>
        <v>48560.342579139702</v>
      </c>
    </row>
    <row r="78" spans="1:39" x14ac:dyDescent="0.25">
      <c r="A78">
        <v>2</v>
      </c>
      <c r="B78">
        <v>11</v>
      </c>
      <c r="C78" s="4">
        <f t="shared" si="33"/>
        <v>5436.5404125858349</v>
      </c>
      <c r="D78" s="4">
        <f t="shared" si="0"/>
        <v>5871.4636455927021</v>
      </c>
      <c r="E78">
        <f t="shared" si="1"/>
        <v>120</v>
      </c>
      <c r="F78" s="6">
        <f t="shared" si="2"/>
        <v>28183.025498844974</v>
      </c>
      <c r="G78" s="6">
        <f t="shared" si="3"/>
        <v>14091.512749422487</v>
      </c>
      <c r="H78" s="6">
        <f t="shared" si="4"/>
        <v>42274.538248267461</v>
      </c>
      <c r="I78" s="6">
        <f t="shared" si="5"/>
        <v>9394.3418329483247</v>
      </c>
      <c r="J78" s="6">
        <f t="shared" si="6"/>
        <v>140.91512749422486</v>
      </c>
      <c r="K78">
        <f t="shared" si="7"/>
        <v>6000</v>
      </c>
      <c r="L78">
        <v>0</v>
      </c>
      <c r="M78" s="4">
        <f t="shared" si="8"/>
        <v>6140.9151274942251</v>
      </c>
      <c r="N78" s="4">
        <f t="shared" si="9"/>
        <v>798.31896657424932</v>
      </c>
      <c r="O78" s="4">
        <f t="shared" si="10"/>
        <v>18.318966574249231</v>
      </c>
      <c r="P78">
        <f t="shared" si="11"/>
        <v>780.00000000000011</v>
      </c>
      <c r="Q78">
        <f t="shared" si="12"/>
        <v>0</v>
      </c>
      <c r="R78" s="4">
        <f t="shared" si="13"/>
        <v>8.4792129524674582</v>
      </c>
      <c r="S78" s="4">
        <f t="shared" si="14"/>
        <v>0.64116383009872313</v>
      </c>
      <c r="T78" s="4">
        <f t="shared" si="15"/>
        <v>27.300000000000008</v>
      </c>
      <c r="U78">
        <f t="shared" si="16"/>
        <v>0</v>
      </c>
      <c r="V78" s="4">
        <f t="shared" si="17"/>
        <v>36.420376782566187</v>
      </c>
      <c r="W78">
        <f t="shared" si="18"/>
        <v>5.5E-2</v>
      </c>
      <c r="X78" s="4">
        <f t="shared" si="34"/>
        <v>423.96064762337289</v>
      </c>
      <c r="Y78" s="4">
        <f t="shared" si="19"/>
        <v>23.317835619285511</v>
      </c>
      <c r="Z78" s="4">
        <f t="shared" si="20"/>
        <v>437.06318878665354</v>
      </c>
      <c r="AA78" s="5">
        <f t="shared" si="21"/>
        <v>20</v>
      </c>
      <c r="AB78" s="5">
        <f t="shared" si="22"/>
        <v>8741.2637757330704</v>
      </c>
      <c r="AC78" s="5">
        <f t="shared" si="23"/>
        <v>120</v>
      </c>
      <c r="AD78" s="5">
        <f t="shared" si="24"/>
        <v>273.00000000000006</v>
      </c>
      <c r="AE78" s="5">
        <f t="shared" si="25"/>
        <v>400</v>
      </c>
      <c r="AF78" s="5">
        <f t="shared" si="26"/>
        <v>84.792129524674579</v>
      </c>
      <c r="AG78" s="5">
        <f t="shared" si="27"/>
        <v>877.79212952467458</v>
      </c>
      <c r="AH78" s="5">
        <f t="shared" si="28"/>
        <v>2000</v>
      </c>
      <c r="AI78" s="5">
        <f t="shared" si="29"/>
        <v>0</v>
      </c>
      <c r="AJ78" s="5">
        <f t="shared" si="30"/>
        <v>1000</v>
      </c>
      <c r="AK78" s="5">
        <f t="shared" si="31"/>
        <v>3877.7921295246747</v>
      </c>
      <c r="AL78" s="5">
        <f t="shared" si="32"/>
        <v>4863.4716462083961</v>
      </c>
      <c r="AM78" s="5">
        <f t="shared" si="35"/>
        <v>53423.814225348098</v>
      </c>
    </row>
    <row r="79" spans="1:39" x14ac:dyDescent="0.25">
      <c r="A79">
        <v>2</v>
      </c>
      <c r="B79">
        <v>12</v>
      </c>
      <c r="C79" s="4">
        <f t="shared" si="33"/>
        <v>5871.4636455927021</v>
      </c>
      <c r="D79" s="4">
        <f t="shared" si="0"/>
        <v>6341.180737240119</v>
      </c>
      <c r="E79">
        <f t="shared" si="1"/>
        <v>120</v>
      </c>
      <c r="F79" s="6">
        <f t="shared" si="2"/>
        <v>30437.667538752572</v>
      </c>
      <c r="G79" s="6">
        <f t="shared" si="3"/>
        <v>15218.833769376286</v>
      </c>
      <c r="H79" s="6">
        <f t="shared" si="4"/>
        <v>45656.501308128856</v>
      </c>
      <c r="I79" s="6">
        <f t="shared" si="5"/>
        <v>10145.88917958419</v>
      </c>
      <c r="J79" s="6">
        <f t="shared" si="6"/>
        <v>152.18833769376283</v>
      </c>
      <c r="K79">
        <f t="shared" si="7"/>
        <v>6000</v>
      </c>
      <c r="L79">
        <v>0</v>
      </c>
      <c r="M79" s="4">
        <f t="shared" si="8"/>
        <v>6152.1883376937631</v>
      </c>
      <c r="N79" s="4">
        <f t="shared" si="9"/>
        <v>799.78448390018923</v>
      </c>
      <c r="O79" s="4">
        <f t="shared" si="10"/>
        <v>19.784483900189169</v>
      </c>
      <c r="P79">
        <f t="shared" si="11"/>
        <v>780</v>
      </c>
      <c r="Q79">
        <f t="shared" si="12"/>
        <v>0</v>
      </c>
      <c r="R79" s="4">
        <f t="shared" si="13"/>
        <v>8.7412637757330707</v>
      </c>
      <c r="S79" s="4">
        <f t="shared" si="14"/>
        <v>0.69245693650662099</v>
      </c>
      <c r="T79" s="4">
        <f t="shared" si="15"/>
        <v>27.300000000000004</v>
      </c>
      <c r="U79">
        <f t="shared" si="16"/>
        <v>0</v>
      </c>
      <c r="V79" s="4">
        <f t="shared" si="17"/>
        <v>36.733720712239695</v>
      </c>
      <c r="W79">
        <f t="shared" si="18"/>
        <v>5.5E-2</v>
      </c>
      <c r="X79" s="4">
        <f t="shared" si="34"/>
        <v>437.06318878665354</v>
      </c>
      <c r="Y79" s="4">
        <f t="shared" si="19"/>
        <v>24.038475383265943</v>
      </c>
      <c r="Z79" s="4">
        <f t="shared" si="20"/>
        <v>449.75843411562727</v>
      </c>
      <c r="AA79" s="5">
        <f t="shared" si="21"/>
        <v>20</v>
      </c>
      <c r="AB79" s="5">
        <f t="shared" si="22"/>
        <v>8995.1686823125456</v>
      </c>
      <c r="AC79" s="5">
        <f t="shared" si="23"/>
        <v>120</v>
      </c>
      <c r="AD79" s="5">
        <f t="shared" si="24"/>
        <v>273.00000000000006</v>
      </c>
      <c r="AE79" s="5">
        <f t="shared" si="25"/>
        <v>400</v>
      </c>
      <c r="AF79" s="5">
        <f t="shared" si="26"/>
        <v>87.412637757330714</v>
      </c>
      <c r="AG79" s="5">
        <f t="shared" si="27"/>
        <v>880.41263775733069</v>
      </c>
      <c r="AH79" s="5">
        <f t="shared" si="28"/>
        <v>2000</v>
      </c>
      <c r="AI79" s="5">
        <f t="shared" si="29"/>
        <v>0</v>
      </c>
      <c r="AJ79" s="5">
        <f t="shared" si="30"/>
        <v>1000</v>
      </c>
      <c r="AK79" s="5">
        <f t="shared" si="31"/>
        <v>3880.4126377573307</v>
      </c>
      <c r="AL79" s="5">
        <f t="shared" si="32"/>
        <v>5114.7560445552153</v>
      </c>
      <c r="AM79" s="5">
        <f t="shared" si="35"/>
        <v>58538.570269903314</v>
      </c>
    </row>
    <row r="80" spans="1:39" x14ac:dyDescent="0.25">
      <c r="A80">
        <v>3</v>
      </c>
      <c r="B80">
        <v>1</v>
      </c>
      <c r="C80" s="4">
        <f t="shared" si="33"/>
        <v>6341.180737240119</v>
      </c>
      <c r="D80" s="4">
        <f t="shared" si="0"/>
        <v>6848.4751962193286</v>
      </c>
      <c r="E80">
        <f t="shared" si="1"/>
        <v>120</v>
      </c>
      <c r="F80" s="6">
        <f t="shared" si="2"/>
        <v>32872.680941852777</v>
      </c>
      <c r="G80" s="6">
        <f t="shared" si="3"/>
        <v>16436.340470926389</v>
      </c>
      <c r="H80" s="6">
        <f t="shared" si="4"/>
        <v>49309.02141277917</v>
      </c>
      <c r="I80" s="6">
        <f t="shared" si="5"/>
        <v>10957.560313950926</v>
      </c>
      <c r="J80" s="6">
        <f t="shared" si="6"/>
        <v>164.36340470926388</v>
      </c>
      <c r="K80">
        <f t="shared" si="7"/>
        <v>6000</v>
      </c>
      <c r="L80">
        <v>0</v>
      </c>
      <c r="M80" s="4">
        <f t="shared" si="8"/>
        <v>6164.3634047092637</v>
      </c>
      <c r="N80" s="4">
        <f t="shared" si="9"/>
        <v>801.36724261220434</v>
      </c>
      <c r="O80" s="4">
        <f t="shared" si="10"/>
        <v>21.367242612204308</v>
      </c>
      <c r="P80">
        <f t="shared" si="11"/>
        <v>780.00000000000011</v>
      </c>
      <c r="Q80">
        <f t="shared" si="12"/>
        <v>0</v>
      </c>
      <c r="R80" s="4">
        <f t="shared" si="13"/>
        <v>8.9951686823125456</v>
      </c>
      <c r="S80" s="4">
        <f t="shared" si="14"/>
        <v>0.74785349142715085</v>
      </c>
      <c r="T80" s="4">
        <f t="shared" si="15"/>
        <v>27.300000000000008</v>
      </c>
      <c r="U80">
        <f t="shared" si="16"/>
        <v>0</v>
      </c>
      <c r="V80" s="4">
        <f t="shared" si="17"/>
        <v>37.043022173739701</v>
      </c>
      <c r="W80">
        <f t="shared" si="18"/>
        <v>0.05</v>
      </c>
      <c r="X80" s="4">
        <f t="shared" si="34"/>
        <v>449.75843411562727</v>
      </c>
      <c r="Y80" s="4">
        <f t="shared" si="19"/>
        <v>22.487921705781364</v>
      </c>
      <c r="Z80" s="4">
        <f t="shared" si="20"/>
        <v>464.31353458358558</v>
      </c>
      <c r="AA80" s="5">
        <f t="shared" si="21"/>
        <v>20</v>
      </c>
      <c r="AB80" s="5">
        <f t="shared" si="22"/>
        <v>9286.2706916717107</v>
      </c>
      <c r="AC80" s="5">
        <f t="shared" si="23"/>
        <v>120</v>
      </c>
      <c r="AD80" s="5">
        <f t="shared" si="24"/>
        <v>273.00000000000006</v>
      </c>
      <c r="AE80" s="5">
        <f t="shared" si="25"/>
        <v>600</v>
      </c>
      <c r="AF80" s="5">
        <f t="shared" si="26"/>
        <v>89.951686823125456</v>
      </c>
      <c r="AG80" s="5">
        <f t="shared" si="27"/>
        <v>1082.9516868231256</v>
      </c>
      <c r="AH80" s="5">
        <f t="shared" si="28"/>
        <v>2000</v>
      </c>
      <c r="AI80" s="5">
        <f t="shared" si="29"/>
        <v>0</v>
      </c>
      <c r="AJ80" s="5">
        <f t="shared" si="30"/>
        <v>1000</v>
      </c>
      <c r="AK80" s="5">
        <f t="shared" si="31"/>
        <v>4082.9516868231258</v>
      </c>
      <c r="AL80" s="5">
        <f t="shared" si="32"/>
        <v>5203.3190048485849</v>
      </c>
      <c r="AM80" s="5">
        <f t="shared" si="35"/>
        <v>63741.889274751898</v>
      </c>
    </row>
    <row r="81" spans="1:39" x14ac:dyDescent="0.25">
      <c r="A81">
        <v>3</v>
      </c>
      <c r="B81">
        <v>2</v>
      </c>
      <c r="C81" s="4">
        <f t="shared" si="33"/>
        <v>6848.4751962193286</v>
      </c>
      <c r="D81" s="4">
        <f t="shared" si="0"/>
        <v>7396.3532119168758</v>
      </c>
      <c r="E81">
        <f t="shared" si="1"/>
        <v>120</v>
      </c>
      <c r="F81" s="6">
        <f t="shared" si="2"/>
        <v>35502.495417201004</v>
      </c>
      <c r="G81" s="6">
        <f t="shared" si="3"/>
        <v>17751.247708600502</v>
      </c>
      <c r="H81" s="6">
        <f t="shared" si="4"/>
        <v>53253.743125801506</v>
      </c>
      <c r="I81" s="6">
        <f t="shared" si="5"/>
        <v>11834.165139067001</v>
      </c>
      <c r="J81" s="6">
        <f t="shared" si="6"/>
        <v>177.51247708600502</v>
      </c>
      <c r="K81">
        <f t="shared" si="7"/>
        <v>6000</v>
      </c>
      <c r="L81">
        <v>0</v>
      </c>
      <c r="M81" s="4">
        <f t="shared" si="8"/>
        <v>6177.5124770860048</v>
      </c>
      <c r="N81" s="4">
        <f t="shared" si="9"/>
        <v>803.0766220211807</v>
      </c>
      <c r="O81" s="4">
        <f t="shared" si="10"/>
        <v>23.076622021180658</v>
      </c>
      <c r="P81">
        <f t="shared" si="11"/>
        <v>780.00000000000011</v>
      </c>
      <c r="Q81">
        <f t="shared" si="12"/>
        <v>0</v>
      </c>
      <c r="R81" s="4">
        <f t="shared" si="13"/>
        <v>9.2862706916717119</v>
      </c>
      <c r="S81" s="4">
        <f t="shared" si="14"/>
        <v>0.80768177074132308</v>
      </c>
      <c r="T81" s="4">
        <f t="shared" si="15"/>
        <v>27.300000000000008</v>
      </c>
      <c r="U81">
        <f t="shared" si="16"/>
        <v>0</v>
      </c>
      <c r="V81" s="4">
        <f t="shared" si="17"/>
        <v>37.39395246241304</v>
      </c>
      <c r="W81">
        <f t="shared" si="18"/>
        <v>0.05</v>
      </c>
      <c r="X81" s="4">
        <f t="shared" si="34"/>
        <v>464.31353458358558</v>
      </c>
      <c r="Y81" s="4">
        <f t="shared" si="19"/>
        <v>23.215676729179279</v>
      </c>
      <c r="Z81" s="4">
        <f t="shared" si="20"/>
        <v>478.49181031681934</v>
      </c>
      <c r="AA81" s="5">
        <f t="shared" si="21"/>
        <v>20</v>
      </c>
      <c r="AB81" s="5">
        <f t="shared" si="22"/>
        <v>9569.8362063363875</v>
      </c>
      <c r="AC81" s="5">
        <f t="shared" si="23"/>
        <v>120</v>
      </c>
      <c r="AD81" s="5">
        <f t="shared" si="24"/>
        <v>273.00000000000006</v>
      </c>
      <c r="AE81" s="5">
        <f t="shared" si="25"/>
        <v>600</v>
      </c>
      <c r="AF81" s="5">
        <f t="shared" si="26"/>
        <v>92.862706916717116</v>
      </c>
      <c r="AG81" s="5">
        <f t="shared" si="27"/>
        <v>1085.8627069167171</v>
      </c>
      <c r="AH81" s="5">
        <f t="shared" si="28"/>
        <v>2000</v>
      </c>
      <c r="AI81" s="5">
        <f t="shared" si="29"/>
        <v>0</v>
      </c>
      <c r="AJ81" s="5">
        <f t="shared" si="30"/>
        <v>1000</v>
      </c>
      <c r="AK81" s="5">
        <f t="shared" si="31"/>
        <v>4085.8627069167169</v>
      </c>
      <c r="AL81" s="5">
        <f t="shared" si="32"/>
        <v>5483.9734994196706</v>
      </c>
      <c r="AM81" s="5">
        <f t="shared" si="35"/>
        <v>69225.862774171575</v>
      </c>
    </row>
    <row r="82" spans="1:39" x14ac:dyDescent="0.25">
      <c r="A82">
        <v>3</v>
      </c>
      <c r="B82">
        <v>3</v>
      </c>
      <c r="C82" s="4">
        <f t="shared" si="33"/>
        <v>7396.3532119168758</v>
      </c>
      <c r="D82" s="4">
        <f t="shared" si="0"/>
        <v>7988.0614688702262</v>
      </c>
      <c r="E82">
        <f t="shared" si="1"/>
        <v>120</v>
      </c>
      <c r="F82" s="6">
        <f t="shared" si="2"/>
        <v>38342.695050577087</v>
      </c>
      <c r="G82" s="6">
        <f t="shared" si="3"/>
        <v>19171.347525288544</v>
      </c>
      <c r="H82" s="6">
        <f t="shared" si="4"/>
        <v>57514.042575865635</v>
      </c>
      <c r="I82" s="6">
        <f t="shared" si="5"/>
        <v>12780.898350192363</v>
      </c>
      <c r="J82" s="6">
        <f t="shared" si="6"/>
        <v>191.71347525288544</v>
      </c>
      <c r="K82">
        <f t="shared" si="7"/>
        <v>6000</v>
      </c>
      <c r="L82">
        <v>0</v>
      </c>
      <c r="M82" s="4">
        <f t="shared" si="8"/>
        <v>6191.7134752528855</v>
      </c>
      <c r="N82" s="4">
        <f t="shared" si="9"/>
        <v>804.92275178287514</v>
      </c>
      <c r="O82" s="4">
        <f t="shared" si="10"/>
        <v>24.92275178287511</v>
      </c>
      <c r="P82">
        <f t="shared" si="11"/>
        <v>780.00000000000011</v>
      </c>
      <c r="Q82">
        <f t="shared" si="12"/>
        <v>0</v>
      </c>
      <c r="R82" s="4">
        <f t="shared" si="13"/>
        <v>9.5698362063363867</v>
      </c>
      <c r="S82" s="4">
        <f t="shared" si="14"/>
        <v>0.87229631240062899</v>
      </c>
      <c r="T82" s="4">
        <f t="shared" si="15"/>
        <v>27.300000000000008</v>
      </c>
      <c r="U82">
        <f t="shared" si="16"/>
        <v>0</v>
      </c>
      <c r="V82" s="4">
        <f t="shared" si="17"/>
        <v>37.742132518737023</v>
      </c>
      <c r="W82">
        <f t="shared" si="18"/>
        <v>0.05</v>
      </c>
      <c r="X82" s="4">
        <f t="shared" si="34"/>
        <v>478.49181031681934</v>
      </c>
      <c r="Y82" s="4">
        <f t="shared" si="19"/>
        <v>23.924590515840968</v>
      </c>
      <c r="Z82" s="4">
        <f t="shared" si="20"/>
        <v>492.3093523197154</v>
      </c>
      <c r="AA82" s="5">
        <f t="shared" si="21"/>
        <v>20</v>
      </c>
      <c r="AB82" s="5">
        <f t="shared" si="22"/>
        <v>9846.1870463943087</v>
      </c>
      <c r="AC82" s="5">
        <f t="shared" si="23"/>
        <v>120</v>
      </c>
      <c r="AD82" s="5">
        <f t="shared" si="24"/>
        <v>273.00000000000006</v>
      </c>
      <c r="AE82" s="5">
        <f t="shared" si="25"/>
        <v>600</v>
      </c>
      <c r="AF82" s="5">
        <f t="shared" si="26"/>
        <v>95.698362063363874</v>
      </c>
      <c r="AG82" s="5">
        <f t="shared" si="27"/>
        <v>1088.6983620633639</v>
      </c>
      <c r="AH82" s="5">
        <f t="shared" si="28"/>
        <v>2000</v>
      </c>
      <c r="AI82" s="5">
        <f t="shared" si="29"/>
        <v>0</v>
      </c>
      <c r="AJ82" s="5">
        <f t="shared" si="30"/>
        <v>1000</v>
      </c>
      <c r="AK82" s="5">
        <f t="shared" si="31"/>
        <v>4088.6983620633637</v>
      </c>
      <c r="AL82" s="5">
        <f t="shared" si="32"/>
        <v>5757.488684330945</v>
      </c>
      <c r="AM82" s="5">
        <f t="shared" si="35"/>
        <v>74983.351458502526</v>
      </c>
    </row>
    <row r="83" spans="1:39" x14ac:dyDescent="0.25">
      <c r="A83">
        <v>3</v>
      </c>
      <c r="B83">
        <v>4</v>
      </c>
      <c r="C83" s="4">
        <f t="shared" si="33"/>
        <v>7988.0614688702262</v>
      </c>
      <c r="D83" s="4">
        <f t="shared" si="0"/>
        <v>8627.1063863798445</v>
      </c>
      <c r="E83">
        <f t="shared" si="1"/>
        <v>120</v>
      </c>
      <c r="F83" s="6">
        <f t="shared" si="2"/>
        <v>41410.110654623255</v>
      </c>
      <c r="G83" s="6">
        <f t="shared" si="3"/>
        <v>20705.055327311627</v>
      </c>
      <c r="H83" s="6">
        <f t="shared" si="4"/>
        <v>62115.165981934886</v>
      </c>
      <c r="I83" s="6">
        <f t="shared" si="5"/>
        <v>13803.370218207752</v>
      </c>
      <c r="J83" s="6">
        <f t="shared" si="6"/>
        <v>207.05055327311626</v>
      </c>
      <c r="K83">
        <f t="shared" si="7"/>
        <v>6000</v>
      </c>
      <c r="L83">
        <v>0</v>
      </c>
      <c r="M83" s="4">
        <f t="shared" si="8"/>
        <v>6207.0505532731158</v>
      </c>
      <c r="N83" s="4">
        <f t="shared" si="9"/>
        <v>806.91657192550508</v>
      </c>
      <c r="O83" s="4">
        <f t="shared" si="10"/>
        <v>26.916571925505117</v>
      </c>
      <c r="P83">
        <f t="shared" si="11"/>
        <v>780</v>
      </c>
      <c r="Q83">
        <f t="shared" si="12"/>
        <v>0</v>
      </c>
      <c r="R83" s="4">
        <f t="shared" si="13"/>
        <v>9.8461870463943075</v>
      </c>
      <c r="S83" s="4">
        <f t="shared" si="14"/>
        <v>0.94208001739267921</v>
      </c>
      <c r="T83" s="4">
        <f t="shared" si="15"/>
        <v>27.300000000000004</v>
      </c>
      <c r="U83">
        <f t="shared" si="16"/>
        <v>0</v>
      </c>
      <c r="V83" s="4">
        <f t="shared" si="17"/>
        <v>38.088267063786994</v>
      </c>
      <c r="W83">
        <f t="shared" si="18"/>
        <v>0.05</v>
      </c>
      <c r="X83" s="4">
        <f t="shared" si="34"/>
        <v>492.3093523197154</v>
      </c>
      <c r="Y83" s="4">
        <f t="shared" si="19"/>
        <v>24.615467615985771</v>
      </c>
      <c r="Z83" s="4">
        <f t="shared" si="20"/>
        <v>505.78215176751661</v>
      </c>
      <c r="AA83" s="5">
        <f t="shared" si="21"/>
        <v>20</v>
      </c>
      <c r="AB83" s="5">
        <f t="shared" si="22"/>
        <v>10115.643035350333</v>
      </c>
      <c r="AC83" s="5">
        <f t="shared" si="23"/>
        <v>120</v>
      </c>
      <c r="AD83" s="5">
        <f t="shared" si="24"/>
        <v>273.00000000000006</v>
      </c>
      <c r="AE83" s="5">
        <f t="shared" si="25"/>
        <v>600</v>
      </c>
      <c r="AF83" s="5">
        <f t="shared" si="26"/>
        <v>98.461870463943072</v>
      </c>
      <c r="AG83" s="5">
        <f t="shared" si="27"/>
        <v>1091.4618704639431</v>
      </c>
      <c r="AH83" s="5">
        <f t="shared" si="28"/>
        <v>2000</v>
      </c>
      <c r="AI83" s="5">
        <f t="shared" si="29"/>
        <v>0</v>
      </c>
      <c r="AJ83" s="5">
        <f t="shared" si="30"/>
        <v>1000</v>
      </c>
      <c r="AK83" s="5">
        <f t="shared" si="31"/>
        <v>4091.4618704639433</v>
      </c>
      <c r="AL83" s="5">
        <f t="shared" si="32"/>
        <v>6024.1811648863895</v>
      </c>
      <c r="AM83" s="5">
        <f t="shared" si="35"/>
        <v>81007.532623388921</v>
      </c>
    </row>
    <row r="84" spans="1:39" x14ac:dyDescent="0.25">
      <c r="A84">
        <v>3</v>
      </c>
      <c r="B84">
        <v>5</v>
      </c>
      <c r="C84" s="4">
        <f t="shared" si="33"/>
        <v>8627.1063863798445</v>
      </c>
      <c r="D84" s="4">
        <f t="shared" si="0"/>
        <v>9317.2748972902318</v>
      </c>
      <c r="E84">
        <f t="shared" si="1"/>
        <v>120</v>
      </c>
      <c r="F84" s="6">
        <f t="shared" si="2"/>
        <v>44722.919506993116</v>
      </c>
      <c r="G84" s="6">
        <f t="shared" si="3"/>
        <v>22361.459753496558</v>
      </c>
      <c r="H84" s="6">
        <f t="shared" si="4"/>
        <v>67084.379260489673</v>
      </c>
      <c r="I84" s="6">
        <f t="shared" si="5"/>
        <v>14907.639835664371</v>
      </c>
      <c r="J84" s="6">
        <f t="shared" si="6"/>
        <v>223.61459753496555</v>
      </c>
      <c r="K84">
        <f t="shared" si="7"/>
        <v>6000</v>
      </c>
      <c r="L84">
        <v>0</v>
      </c>
      <c r="M84" s="4">
        <f t="shared" si="8"/>
        <v>6223.6145975349655</v>
      </c>
      <c r="N84" s="4">
        <f t="shared" si="9"/>
        <v>809.06989767954553</v>
      </c>
      <c r="O84" s="4">
        <f t="shared" si="10"/>
        <v>29.069897679545523</v>
      </c>
      <c r="P84">
        <f t="shared" si="11"/>
        <v>780.00000000000011</v>
      </c>
      <c r="Q84">
        <f t="shared" si="12"/>
        <v>0</v>
      </c>
      <c r="R84" s="4">
        <f t="shared" si="13"/>
        <v>10.115643035350333</v>
      </c>
      <c r="S84" s="4">
        <f t="shared" si="14"/>
        <v>1.0174464187840935</v>
      </c>
      <c r="T84" s="4">
        <f t="shared" si="15"/>
        <v>27.300000000000008</v>
      </c>
      <c r="U84">
        <f t="shared" si="16"/>
        <v>0</v>
      </c>
      <c r="V84" s="4">
        <f t="shared" si="17"/>
        <v>38.433089454134432</v>
      </c>
      <c r="W84">
        <f t="shared" si="18"/>
        <v>0.05</v>
      </c>
      <c r="X84" s="4">
        <f t="shared" si="34"/>
        <v>505.78215176751661</v>
      </c>
      <c r="Y84" s="4">
        <f t="shared" si="19"/>
        <v>25.289107588375831</v>
      </c>
      <c r="Z84" s="4">
        <f t="shared" si="20"/>
        <v>518.92613363327519</v>
      </c>
      <c r="AA84" s="5">
        <f t="shared" si="21"/>
        <v>20</v>
      </c>
      <c r="AB84" s="5">
        <f t="shared" si="22"/>
        <v>10378.522672665504</v>
      </c>
      <c r="AC84" s="5">
        <f t="shared" si="23"/>
        <v>120</v>
      </c>
      <c r="AD84" s="5">
        <f t="shared" si="24"/>
        <v>273.00000000000006</v>
      </c>
      <c r="AE84" s="5">
        <f t="shared" si="25"/>
        <v>600</v>
      </c>
      <c r="AF84" s="5">
        <f t="shared" si="26"/>
        <v>101.15643035350332</v>
      </c>
      <c r="AG84" s="5">
        <f t="shared" si="27"/>
        <v>1094.1564303535033</v>
      </c>
      <c r="AH84" s="5">
        <f t="shared" si="28"/>
        <v>2000</v>
      </c>
      <c r="AI84" s="5">
        <f t="shared" si="29"/>
        <v>0</v>
      </c>
      <c r="AJ84" s="5">
        <f t="shared" si="30"/>
        <v>1000</v>
      </c>
      <c r="AK84" s="5">
        <f t="shared" si="31"/>
        <v>4094.1564303535033</v>
      </c>
      <c r="AL84" s="5">
        <f t="shared" si="32"/>
        <v>6284.3662423120004</v>
      </c>
      <c r="AM84" s="5">
        <f t="shared" si="35"/>
        <v>87291.898865700918</v>
      </c>
    </row>
    <row r="85" spans="1:39" x14ac:dyDescent="0.25">
      <c r="A85">
        <v>3</v>
      </c>
      <c r="B85">
        <v>6</v>
      </c>
      <c r="C85" s="4">
        <f t="shared" si="33"/>
        <v>9317.2748972902318</v>
      </c>
      <c r="D85" s="4">
        <f t="shared" si="0"/>
        <v>10062.656889073451</v>
      </c>
      <c r="E85">
        <f t="shared" si="1"/>
        <v>120</v>
      </c>
      <c r="F85" s="6">
        <f t="shared" si="2"/>
        <v>48300.753067552563</v>
      </c>
      <c r="G85" s="6">
        <f t="shared" si="3"/>
        <v>24150.376533776282</v>
      </c>
      <c r="H85" s="6">
        <f t="shared" si="4"/>
        <v>72451.129601328837</v>
      </c>
      <c r="I85" s="6">
        <f t="shared" si="5"/>
        <v>16100.251022517521</v>
      </c>
      <c r="J85" s="6">
        <f t="shared" si="6"/>
        <v>241.50376533776281</v>
      </c>
      <c r="K85">
        <f t="shared" si="7"/>
        <v>6000</v>
      </c>
      <c r="L85">
        <v>0</v>
      </c>
      <c r="M85" s="4">
        <f t="shared" si="8"/>
        <v>6241.5037653377631</v>
      </c>
      <c r="N85" s="4">
        <f t="shared" si="9"/>
        <v>811.39548949390928</v>
      </c>
      <c r="O85" s="4">
        <f t="shared" si="10"/>
        <v>31.395489493909171</v>
      </c>
      <c r="P85">
        <f t="shared" si="11"/>
        <v>780.00000000000011</v>
      </c>
      <c r="Q85">
        <f t="shared" si="12"/>
        <v>0</v>
      </c>
      <c r="R85" s="4">
        <f t="shared" si="13"/>
        <v>10.378522672665504</v>
      </c>
      <c r="S85" s="4">
        <f t="shared" si="14"/>
        <v>1.0988421322868211</v>
      </c>
      <c r="T85" s="4">
        <f t="shared" si="15"/>
        <v>27.300000000000008</v>
      </c>
      <c r="U85">
        <f t="shared" si="16"/>
        <v>0</v>
      </c>
      <c r="V85" s="4">
        <f t="shared" si="17"/>
        <v>38.777364804952335</v>
      </c>
      <c r="W85">
        <f t="shared" si="18"/>
        <v>0.05</v>
      </c>
      <c r="X85" s="4">
        <f t="shared" si="34"/>
        <v>518.92613363327519</v>
      </c>
      <c r="Y85" s="4">
        <f t="shared" si="19"/>
        <v>25.94630668166376</v>
      </c>
      <c r="Z85" s="4">
        <f t="shared" si="20"/>
        <v>531.75719175656377</v>
      </c>
      <c r="AA85" s="5">
        <f t="shared" si="21"/>
        <v>20</v>
      </c>
      <c r="AB85" s="5">
        <f t="shared" si="22"/>
        <v>10635.143835131275</v>
      </c>
      <c r="AC85" s="5">
        <f t="shared" si="23"/>
        <v>120</v>
      </c>
      <c r="AD85" s="5">
        <f t="shared" si="24"/>
        <v>273.00000000000006</v>
      </c>
      <c r="AE85" s="5">
        <f t="shared" si="25"/>
        <v>600</v>
      </c>
      <c r="AF85" s="5">
        <f t="shared" si="26"/>
        <v>103.78522672665504</v>
      </c>
      <c r="AG85" s="5">
        <f t="shared" si="27"/>
        <v>1096.7852267266551</v>
      </c>
      <c r="AH85" s="5">
        <f>IF(AB85&gt;=$C$36,$C$35,0)</f>
        <v>2000</v>
      </c>
      <c r="AI85" s="5">
        <f t="shared" si="29"/>
        <v>0</v>
      </c>
      <c r="AJ85" s="5">
        <f t="shared" si="30"/>
        <v>1000</v>
      </c>
      <c r="AK85" s="5">
        <f t="shared" si="31"/>
        <v>4096.7852267266553</v>
      </c>
      <c r="AL85" s="5">
        <f t="shared" si="32"/>
        <v>6538.3586084046201</v>
      </c>
      <c r="AM85" s="5">
        <f t="shared" si="35"/>
        <v>93830.257474105543</v>
      </c>
    </row>
    <row r="86" spans="1:39" x14ac:dyDescent="0.25">
      <c r="A86">
        <v>3</v>
      </c>
      <c r="B86">
        <v>7</v>
      </c>
      <c r="C86" s="4">
        <f t="shared" si="33"/>
        <v>10062.656889073451</v>
      </c>
      <c r="D86" s="4">
        <f t="shared" si="0"/>
        <v>10867.669440199328</v>
      </c>
      <c r="E86">
        <f t="shared" si="1"/>
        <v>120</v>
      </c>
      <c r="F86" s="6">
        <f t="shared" si="2"/>
        <v>52164.813312956772</v>
      </c>
      <c r="G86" s="6">
        <f t="shared" si="3"/>
        <v>26082.406656478386</v>
      </c>
      <c r="H86" s="6">
        <f t="shared" si="4"/>
        <v>78247.219969435158</v>
      </c>
      <c r="I86" s="6">
        <f t="shared" si="5"/>
        <v>17388.271104318923</v>
      </c>
      <c r="J86" s="6">
        <f t="shared" si="6"/>
        <v>260.82406656478383</v>
      </c>
      <c r="K86">
        <f t="shared" si="7"/>
        <v>6000</v>
      </c>
      <c r="L86">
        <v>0</v>
      </c>
      <c r="M86" s="4">
        <f t="shared" si="8"/>
        <v>6260.8240665647836</v>
      </c>
      <c r="N86" s="4">
        <f t="shared" si="9"/>
        <v>813.90712865342186</v>
      </c>
      <c r="O86" s="4">
        <f t="shared" si="10"/>
        <v>33.9071286534219</v>
      </c>
      <c r="P86">
        <f t="shared" si="11"/>
        <v>780</v>
      </c>
      <c r="Q86">
        <f t="shared" si="12"/>
        <v>0</v>
      </c>
      <c r="R86" s="4">
        <f t="shared" si="13"/>
        <v>10.635143835131275</v>
      </c>
      <c r="S86" s="4">
        <f t="shared" si="14"/>
        <v>1.1867495028697665</v>
      </c>
      <c r="T86" s="4">
        <f t="shared" si="15"/>
        <v>27.300000000000004</v>
      </c>
      <c r="U86">
        <f t="shared" si="16"/>
        <v>0</v>
      </c>
      <c r="V86" s="4">
        <f t="shared" si="17"/>
        <v>39.121893338001044</v>
      </c>
      <c r="W86">
        <f t="shared" si="18"/>
        <v>0.05</v>
      </c>
      <c r="X86" s="4">
        <f t="shared" si="34"/>
        <v>531.75719175656377</v>
      </c>
      <c r="Y86" s="4">
        <f t="shared" si="19"/>
        <v>26.587859587828191</v>
      </c>
      <c r="Z86" s="4">
        <f t="shared" si="20"/>
        <v>544.29122550673662</v>
      </c>
      <c r="AA86" s="5">
        <f t="shared" si="21"/>
        <v>20</v>
      </c>
      <c r="AB86" s="5">
        <f t="shared" si="22"/>
        <v>10885.824510134733</v>
      </c>
      <c r="AC86" s="5">
        <f t="shared" si="23"/>
        <v>120</v>
      </c>
      <c r="AD86" s="5">
        <f t="shared" si="24"/>
        <v>273.00000000000006</v>
      </c>
      <c r="AE86" s="5">
        <f t="shared" si="25"/>
        <v>600</v>
      </c>
      <c r="AF86" s="5">
        <f t="shared" si="26"/>
        <v>106.35143835131275</v>
      </c>
      <c r="AG86" s="5">
        <f t="shared" si="27"/>
        <v>1099.3514383513127</v>
      </c>
      <c r="AH86" s="5">
        <f t="shared" si="28"/>
        <v>2000</v>
      </c>
      <c r="AI86" s="5">
        <f t="shared" si="29"/>
        <v>0</v>
      </c>
      <c r="AJ86" s="5">
        <f t="shared" si="30"/>
        <v>1000</v>
      </c>
      <c r="AK86" s="5">
        <f t="shared" si="31"/>
        <v>4099.3514383513129</v>
      </c>
      <c r="AL86" s="5">
        <f t="shared" si="32"/>
        <v>6786.47307178342</v>
      </c>
      <c r="AM86" s="5">
        <f t="shared" si="35"/>
        <v>100616.73054588896</v>
      </c>
    </row>
    <row r="87" spans="1:39" x14ac:dyDescent="0.25">
      <c r="A87">
        <v>3</v>
      </c>
      <c r="B87">
        <v>8</v>
      </c>
      <c r="C87" s="4">
        <f t="shared" si="33"/>
        <v>10867.669440199328</v>
      </c>
      <c r="D87" s="4">
        <f t="shared" si="0"/>
        <v>11737.082995415276</v>
      </c>
      <c r="E87">
        <f t="shared" si="1"/>
        <v>120</v>
      </c>
      <c r="F87" s="6">
        <f t="shared" si="2"/>
        <v>56337.998377993325</v>
      </c>
      <c r="G87" s="6">
        <f t="shared" si="3"/>
        <v>28168.999188996662</v>
      </c>
      <c r="H87" s="6">
        <f t="shared" si="4"/>
        <v>84506.997566989987</v>
      </c>
      <c r="I87" s="6">
        <f t="shared" si="5"/>
        <v>18779.332792664442</v>
      </c>
      <c r="J87" s="6">
        <f t="shared" si="6"/>
        <v>281.68999188996662</v>
      </c>
      <c r="K87">
        <f t="shared" si="7"/>
        <v>6000</v>
      </c>
      <c r="L87">
        <v>0</v>
      </c>
      <c r="M87" s="4">
        <f t="shared" si="8"/>
        <v>6281.6899918899662</v>
      </c>
      <c r="N87" s="4">
        <f t="shared" si="9"/>
        <v>816.61969894569563</v>
      </c>
      <c r="O87" s="4">
        <f t="shared" si="10"/>
        <v>36.61969894569566</v>
      </c>
      <c r="P87">
        <f t="shared" si="11"/>
        <v>780.00000000000011</v>
      </c>
      <c r="Q87">
        <f t="shared" si="12"/>
        <v>0</v>
      </c>
      <c r="R87" s="4">
        <f t="shared" si="13"/>
        <v>10.885824510134732</v>
      </c>
      <c r="S87" s="4">
        <f t="shared" si="14"/>
        <v>1.2816894630993483</v>
      </c>
      <c r="T87" s="4">
        <f t="shared" si="15"/>
        <v>27.300000000000008</v>
      </c>
      <c r="U87">
        <f t="shared" si="16"/>
        <v>0</v>
      </c>
      <c r="V87" s="4">
        <f t="shared" si="17"/>
        <v>39.467513973234091</v>
      </c>
      <c r="W87">
        <f t="shared" si="18"/>
        <v>0.05</v>
      </c>
      <c r="X87" s="4">
        <f t="shared" si="34"/>
        <v>544.29122550673662</v>
      </c>
      <c r="Y87" s="4">
        <f t="shared" si="19"/>
        <v>27.214561275336834</v>
      </c>
      <c r="Z87" s="4">
        <f t="shared" si="20"/>
        <v>556.54417820463391</v>
      </c>
      <c r="AA87" s="5">
        <f t="shared" si="21"/>
        <v>20</v>
      </c>
      <c r="AB87" s="5">
        <f t="shared" si="22"/>
        <v>11130.883564092677</v>
      </c>
      <c r="AC87" s="5">
        <f t="shared" si="23"/>
        <v>120</v>
      </c>
      <c r="AD87" s="5">
        <f t="shared" si="24"/>
        <v>273.00000000000006</v>
      </c>
      <c r="AE87" s="5">
        <f t="shared" si="25"/>
        <v>600</v>
      </c>
      <c r="AF87" s="5">
        <f t="shared" si="26"/>
        <v>108.85824510134732</v>
      </c>
      <c r="AG87" s="5">
        <f t="shared" si="27"/>
        <v>1101.8582451013474</v>
      </c>
      <c r="AH87" s="5">
        <f t="shared" si="28"/>
        <v>2000</v>
      </c>
      <c r="AI87" s="5">
        <f t="shared" si="29"/>
        <v>0</v>
      </c>
      <c r="AJ87" s="5">
        <f t="shared" si="30"/>
        <v>1000</v>
      </c>
      <c r="AK87" s="5">
        <f t="shared" si="31"/>
        <v>4101.8582451013472</v>
      </c>
      <c r="AL87" s="5">
        <f t="shared" si="32"/>
        <v>7029.0253189913301</v>
      </c>
      <c r="AM87" s="5">
        <f t="shared" si="35"/>
        <v>107645.7558648803</v>
      </c>
    </row>
    <row r="88" spans="1:39" x14ac:dyDescent="0.25">
      <c r="A88">
        <v>3</v>
      </c>
      <c r="B88">
        <v>9</v>
      </c>
      <c r="C88" s="4">
        <f t="shared" si="33"/>
        <v>11737.082995415276</v>
      </c>
      <c r="D88" s="4">
        <f t="shared" si="0"/>
        <v>12676.049635048499</v>
      </c>
      <c r="E88">
        <f t="shared" si="1"/>
        <v>120</v>
      </c>
      <c r="F88" s="6">
        <f t="shared" si="2"/>
        <v>60845.038248232799</v>
      </c>
      <c r="G88" s="6">
        <f t="shared" si="3"/>
        <v>30422.519124116399</v>
      </c>
      <c r="H88" s="6">
        <f t="shared" si="4"/>
        <v>91267.557372349198</v>
      </c>
      <c r="I88" s="6">
        <f t="shared" si="5"/>
        <v>20281.679416077601</v>
      </c>
      <c r="J88" s="6">
        <f t="shared" si="6"/>
        <v>304.225191241164</v>
      </c>
      <c r="K88">
        <f t="shared" si="7"/>
        <v>6000</v>
      </c>
      <c r="L88">
        <v>0</v>
      </c>
      <c r="M88" s="4">
        <f t="shared" si="8"/>
        <v>6304.2251912411639</v>
      </c>
      <c r="N88" s="4">
        <f t="shared" si="9"/>
        <v>819.54927486135136</v>
      </c>
      <c r="O88" s="4">
        <f t="shared" si="10"/>
        <v>39.549274861351321</v>
      </c>
      <c r="P88">
        <f t="shared" si="11"/>
        <v>780.00000000000011</v>
      </c>
      <c r="Q88">
        <f t="shared" si="12"/>
        <v>0</v>
      </c>
      <c r="R88" s="4">
        <f t="shared" si="13"/>
        <v>11.130883564092679</v>
      </c>
      <c r="S88" s="4">
        <f t="shared" si="14"/>
        <v>1.3842246201472963</v>
      </c>
      <c r="T88" s="4">
        <f t="shared" si="15"/>
        <v>27.300000000000008</v>
      </c>
      <c r="U88">
        <f t="shared" si="16"/>
        <v>0</v>
      </c>
      <c r="V88" s="4">
        <f t="shared" si="17"/>
        <v>39.815108184239982</v>
      </c>
      <c r="W88">
        <f t="shared" si="18"/>
        <v>0.05</v>
      </c>
      <c r="X88" s="4">
        <f t="shared" si="34"/>
        <v>556.54417820463391</v>
      </c>
      <c r="Y88" s="4">
        <f t="shared" si="19"/>
        <v>27.827208910231697</v>
      </c>
      <c r="Z88" s="4">
        <f t="shared" si="20"/>
        <v>568.53207747864224</v>
      </c>
      <c r="AA88" s="5">
        <f t="shared" si="21"/>
        <v>20</v>
      </c>
      <c r="AB88" s="5">
        <f t="shared" si="22"/>
        <v>11370.641549572845</v>
      </c>
      <c r="AC88" s="5">
        <f t="shared" si="23"/>
        <v>120</v>
      </c>
      <c r="AD88" s="5">
        <f t="shared" si="24"/>
        <v>273.00000000000006</v>
      </c>
      <c r="AE88" s="5">
        <f t="shared" si="25"/>
        <v>600</v>
      </c>
      <c r="AF88" s="5">
        <f t="shared" si="26"/>
        <v>111.30883564092679</v>
      </c>
      <c r="AG88" s="5">
        <f t="shared" si="27"/>
        <v>1104.3088356409269</v>
      </c>
      <c r="AH88" s="5">
        <f t="shared" si="28"/>
        <v>2000</v>
      </c>
      <c r="AI88" s="5">
        <f t="shared" si="29"/>
        <v>0</v>
      </c>
      <c r="AJ88" s="5">
        <f t="shared" si="30"/>
        <v>1000</v>
      </c>
      <c r="AK88" s="5">
        <f t="shared" si="31"/>
        <v>4104.3088356409271</v>
      </c>
      <c r="AL88" s="5">
        <f t="shared" si="32"/>
        <v>7266.3327139319181</v>
      </c>
      <c r="AM88" s="5">
        <f t="shared" si="35"/>
        <v>114912.08857881221</v>
      </c>
    </row>
    <row r="89" spans="1:39" x14ac:dyDescent="0.25">
      <c r="A89">
        <v>3</v>
      </c>
      <c r="B89">
        <v>10</v>
      </c>
      <c r="C89" s="4">
        <f t="shared" si="33"/>
        <v>12676.049635048499</v>
      </c>
      <c r="D89" s="4">
        <f t="shared" si="0"/>
        <v>13690.133605852379</v>
      </c>
      <c r="E89">
        <f t="shared" si="1"/>
        <v>120</v>
      </c>
      <c r="F89" s="6">
        <f t="shared" si="2"/>
        <v>65712.641308091421</v>
      </c>
      <c r="G89" s="6">
        <f t="shared" si="3"/>
        <v>32856.32065404571</v>
      </c>
      <c r="H89" s="6">
        <f t="shared" si="4"/>
        <v>98568.961962137138</v>
      </c>
      <c r="I89" s="6">
        <f t="shared" si="5"/>
        <v>21904.213769363807</v>
      </c>
      <c r="J89" s="6">
        <f t="shared" si="6"/>
        <v>328.56320654045709</v>
      </c>
      <c r="K89">
        <f t="shared" si="7"/>
        <v>6000</v>
      </c>
      <c r="L89">
        <v>0</v>
      </c>
      <c r="M89" s="4">
        <f t="shared" si="8"/>
        <v>6328.563206540457</v>
      </c>
      <c r="N89" s="4">
        <f t="shared" si="9"/>
        <v>822.71321685025941</v>
      </c>
      <c r="O89" s="4">
        <f t="shared" si="10"/>
        <v>42.713216850259421</v>
      </c>
      <c r="P89">
        <f t="shared" si="11"/>
        <v>779.99999999999989</v>
      </c>
      <c r="Q89">
        <f t="shared" si="12"/>
        <v>0</v>
      </c>
      <c r="R89" s="4">
        <f t="shared" si="13"/>
        <v>11.370641549572845</v>
      </c>
      <c r="S89" s="4">
        <f t="shared" si="14"/>
        <v>1.4949625897590799</v>
      </c>
      <c r="T89" s="4">
        <f t="shared" si="15"/>
        <v>27.299999999999997</v>
      </c>
      <c r="U89">
        <f t="shared" si="16"/>
        <v>0</v>
      </c>
      <c r="V89" s="4">
        <f t="shared" si="17"/>
        <v>40.165604139331919</v>
      </c>
      <c r="W89">
        <f t="shared" si="18"/>
        <v>0.05</v>
      </c>
      <c r="X89" s="4">
        <f t="shared" si="34"/>
        <v>568.53207747864224</v>
      </c>
      <c r="Y89" s="4">
        <f t="shared" si="19"/>
        <v>28.426603873932113</v>
      </c>
      <c r="Z89" s="4">
        <f t="shared" si="20"/>
        <v>580.27107774404203</v>
      </c>
      <c r="AA89" s="5">
        <f t="shared" si="21"/>
        <v>20</v>
      </c>
      <c r="AB89" s="5">
        <f t="shared" si="22"/>
        <v>11605.421554880841</v>
      </c>
      <c r="AC89" s="5">
        <f t="shared" si="23"/>
        <v>120</v>
      </c>
      <c r="AD89" s="5">
        <f t="shared" si="24"/>
        <v>273</v>
      </c>
      <c r="AE89" s="5">
        <f t="shared" si="25"/>
        <v>600</v>
      </c>
      <c r="AF89" s="5">
        <f t="shared" si="26"/>
        <v>113.70641549572845</v>
      </c>
      <c r="AG89" s="5">
        <f t="shared" si="27"/>
        <v>1106.7064154957284</v>
      </c>
      <c r="AH89" s="5">
        <f t="shared" si="28"/>
        <v>2000</v>
      </c>
      <c r="AI89" s="5">
        <f t="shared" si="29"/>
        <v>0</v>
      </c>
      <c r="AJ89" s="5">
        <f t="shared" si="30"/>
        <v>1000</v>
      </c>
      <c r="AK89" s="5">
        <f t="shared" si="31"/>
        <v>4106.7064154957279</v>
      </c>
      <c r="AL89" s="5">
        <f t="shared" si="32"/>
        <v>7498.7151393851127</v>
      </c>
      <c r="AM89" s="5">
        <f t="shared" si="35"/>
        <v>122410.80371819732</v>
      </c>
    </row>
    <row r="90" spans="1:39" x14ac:dyDescent="0.25">
      <c r="A90">
        <v>3</v>
      </c>
      <c r="B90">
        <v>11</v>
      </c>
      <c r="C90" s="4">
        <f t="shared" si="33"/>
        <v>13690.133605852379</v>
      </c>
      <c r="D90" s="4">
        <f t="shared" si="0"/>
        <v>14785.34429432057</v>
      </c>
      <c r="E90">
        <f t="shared" si="1"/>
        <v>120</v>
      </c>
      <c r="F90" s="6">
        <f t="shared" si="2"/>
        <v>70969.652612738748</v>
      </c>
      <c r="G90" s="6">
        <f t="shared" si="3"/>
        <v>35484.826306369374</v>
      </c>
      <c r="H90" s="6">
        <f t="shared" si="4"/>
        <v>106454.47891910812</v>
      </c>
      <c r="I90" s="6">
        <f t="shared" si="5"/>
        <v>23656.550870912917</v>
      </c>
      <c r="J90" s="6">
        <f t="shared" si="6"/>
        <v>354.84826306369376</v>
      </c>
      <c r="K90">
        <f t="shared" si="7"/>
        <v>6000</v>
      </c>
      <c r="L90">
        <v>0</v>
      </c>
      <c r="M90" s="4">
        <f t="shared" si="8"/>
        <v>6354.8482630636936</v>
      </c>
      <c r="N90" s="4">
        <f>M90*$C$6</f>
        <v>826.13027419828018</v>
      </c>
      <c r="O90" s="4">
        <f t="shared" si="10"/>
        <v>46.13027419828019</v>
      </c>
      <c r="P90">
        <f t="shared" si="11"/>
        <v>780</v>
      </c>
      <c r="Q90">
        <f t="shared" si="12"/>
        <v>0</v>
      </c>
      <c r="R90" s="4">
        <f t="shared" si="13"/>
        <v>11.605421554880841</v>
      </c>
      <c r="S90" s="4">
        <f t="shared" si="14"/>
        <v>1.6145595969398068</v>
      </c>
      <c r="T90" s="4">
        <f t="shared" si="15"/>
        <v>27.300000000000004</v>
      </c>
      <c r="U90">
        <f t="shared" si="16"/>
        <v>0</v>
      </c>
      <c r="V90" s="4">
        <f t="shared" si="17"/>
        <v>40.519981151820652</v>
      </c>
      <c r="W90">
        <f t="shared" si="18"/>
        <v>0.05</v>
      </c>
      <c r="X90" s="4">
        <f t="shared" si="34"/>
        <v>580.27107774404203</v>
      </c>
      <c r="Y90" s="4">
        <f t="shared" si="19"/>
        <v>29.013553887202104</v>
      </c>
      <c r="Z90" s="4">
        <f t="shared" si="20"/>
        <v>591.77750500866057</v>
      </c>
      <c r="AA90" s="5">
        <f t="shared" si="21"/>
        <v>20</v>
      </c>
      <c r="AB90" s="5">
        <f t="shared" si="22"/>
        <v>11835.550100173212</v>
      </c>
      <c r="AC90" s="5">
        <f t="shared" si="23"/>
        <v>120</v>
      </c>
      <c r="AD90" s="5">
        <f t="shared" si="24"/>
        <v>273.00000000000006</v>
      </c>
      <c r="AE90" s="5">
        <f t="shared" si="25"/>
        <v>600</v>
      </c>
      <c r="AF90" s="5">
        <f t="shared" si="26"/>
        <v>116.05421554880841</v>
      </c>
      <c r="AG90" s="5">
        <f t="shared" si="27"/>
        <v>1109.0542155488083</v>
      </c>
      <c r="AH90" s="5">
        <f t="shared" si="28"/>
        <v>2000</v>
      </c>
      <c r="AI90" s="5">
        <f t="shared" si="29"/>
        <v>0</v>
      </c>
      <c r="AJ90" s="5">
        <f t="shared" si="30"/>
        <v>1000</v>
      </c>
      <c r="AK90" s="5">
        <f t="shared" si="31"/>
        <v>4109.0542155488083</v>
      </c>
      <c r="AL90" s="5">
        <f t="shared" si="32"/>
        <v>7726.4958846244035</v>
      </c>
      <c r="AM90" s="5">
        <f t="shared" si="35"/>
        <v>130137.29960282172</v>
      </c>
    </row>
    <row r="91" spans="1:39" x14ac:dyDescent="0.25">
      <c r="A91">
        <v>3</v>
      </c>
      <c r="B91">
        <v>12</v>
      </c>
      <c r="C91" s="4">
        <f t="shared" si="33"/>
        <v>14785.34429432057</v>
      </c>
      <c r="D91" s="4">
        <f t="shared" si="0"/>
        <v>15968.171837866217</v>
      </c>
      <c r="E91">
        <f t="shared" si="1"/>
        <v>120</v>
      </c>
      <c r="F91" s="6">
        <f t="shared" si="2"/>
        <v>76647.224821757845</v>
      </c>
      <c r="G91" s="6">
        <f t="shared" si="3"/>
        <v>38323.612410878923</v>
      </c>
      <c r="H91" s="6">
        <f t="shared" si="4"/>
        <v>114970.83723263677</v>
      </c>
      <c r="I91" s="6">
        <f t="shared" si="5"/>
        <v>25549.07494058595</v>
      </c>
      <c r="J91" s="6">
        <f t="shared" si="6"/>
        <v>383.23612410878923</v>
      </c>
      <c r="K91">
        <f t="shared" si="7"/>
        <v>6000</v>
      </c>
      <c r="L91">
        <v>0</v>
      </c>
      <c r="M91" s="4">
        <f t="shared" si="8"/>
        <v>6383.2361241087892</v>
      </c>
      <c r="N91" s="4">
        <f t="shared" si="9"/>
        <v>829.82069613414262</v>
      </c>
      <c r="O91" s="4">
        <f t="shared" si="10"/>
        <v>49.820696134142601</v>
      </c>
      <c r="P91">
        <f t="shared" si="11"/>
        <v>780</v>
      </c>
      <c r="Q91">
        <f t="shared" si="12"/>
        <v>0</v>
      </c>
      <c r="R91" s="4">
        <f>X91*$C$27</f>
        <v>11.835550100173212</v>
      </c>
      <c r="S91" s="4">
        <f t="shared" si="14"/>
        <v>1.7437243646949911</v>
      </c>
      <c r="T91" s="4">
        <f t="shared" si="15"/>
        <v>27.300000000000004</v>
      </c>
      <c r="U91">
        <f t="shared" si="16"/>
        <v>0</v>
      </c>
      <c r="V91" s="4">
        <f t="shared" si="17"/>
        <v>40.879274464868203</v>
      </c>
      <c r="W91">
        <f t="shared" si="18"/>
        <v>0.05</v>
      </c>
      <c r="X91" s="4">
        <f t="shared" si="34"/>
        <v>591.77750500866057</v>
      </c>
      <c r="Y91" s="4">
        <f t="shared" si="19"/>
        <v>29.588875250433031</v>
      </c>
      <c r="Z91" s="4">
        <f t="shared" si="20"/>
        <v>603.06790422309575</v>
      </c>
      <c r="AA91" s="5">
        <f t="shared" si="21"/>
        <v>20</v>
      </c>
      <c r="AB91" s="5">
        <f t="shared" si="22"/>
        <v>12061.358084461915</v>
      </c>
      <c r="AC91" s="5">
        <f t="shared" si="23"/>
        <v>120</v>
      </c>
      <c r="AD91" s="5">
        <f t="shared" si="24"/>
        <v>273.00000000000006</v>
      </c>
      <c r="AE91" s="5">
        <f t="shared" si="25"/>
        <v>600</v>
      </c>
      <c r="AF91" s="5">
        <f t="shared" si="26"/>
        <v>118.35550100173211</v>
      </c>
      <c r="AG91" s="5">
        <f t="shared" si="27"/>
        <v>1111.3555010017321</v>
      </c>
      <c r="AH91" s="5">
        <f t="shared" si="28"/>
        <v>2000</v>
      </c>
      <c r="AI91" s="5">
        <f t="shared" si="29"/>
        <v>0</v>
      </c>
      <c r="AJ91" s="5">
        <f t="shared" si="30"/>
        <v>1000</v>
      </c>
      <c r="AK91" s="5">
        <f t="shared" si="31"/>
        <v>4111.3555010017317</v>
      </c>
      <c r="AL91" s="5">
        <f t="shared" si="32"/>
        <v>7950.0025834601838</v>
      </c>
      <c r="AM91" s="5">
        <f t="shared" si="35"/>
        <v>138087.30218628189</v>
      </c>
    </row>
    <row r="94" spans="1:39" x14ac:dyDescent="0.25">
      <c r="A94" s="2" t="s">
        <v>103</v>
      </c>
      <c r="B94" s="2" t="s">
        <v>141</v>
      </c>
      <c r="C94" s="2" t="s">
        <v>142</v>
      </c>
      <c r="D94" s="2" t="s">
        <v>143</v>
      </c>
      <c r="E94" s="2" t="s">
        <v>144</v>
      </c>
      <c r="F94" s="2" t="s">
        <v>145</v>
      </c>
      <c r="G94" s="2" t="s">
        <v>146</v>
      </c>
      <c r="H94" s="2" t="s">
        <v>147</v>
      </c>
      <c r="I94" s="2" t="s">
        <v>148</v>
      </c>
      <c r="J94" s="2" t="s">
        <v>149</v>
      </c>
      <c r="K94" s="2" t="s">
        <v>150</v>
      </c>
      <c r="L94" s="2" t="s">
        <v>151</v>
      </c>
      <c r="M94" s="2" t="s">
        <v>152</v>
      </c>
      <c r="N94" s="2" t="s">
        <v>153</v>
      </c>
      <c r="O94" s="2" t="s">
        <v>154</v>
      </c>
      <c r="P94" s="2" t="s">
        <v>155</v>
      </c>
      <c r="Q94" s="2" t="s">
        <v>156</v>
      </c>
      <c r="R94" s="2" t="s">
        <v>157</v>
      </c>
      <c r="S94" s="2" t="s">
        <v>158</v>
      </c>
      <c r="T94" s="2" t="s">
        <v>159</v>
      </c>
      <c r="U94" s="2" t="s">
        <v>160</v>
      </c>
      <c r="V94" s="2" t="s">
        <v>161</v>
      </c>
      <c r="W94" s="2" t="s">
        <v>162</v>
      </c>
      <c r="X94" s="2" t="s">
        <v>163</v>
      </c>
      <c r="Y94" s="2" t="s">
        <v>164</v>
      </c>
      <c r="Z94" s="2" t="s">
        <v>165</v>
      </c>
      <c r="AA94" s="2" t="s">
        <v>166</v>
      </c>
      <c r="AB94" s="2" t="s">
        <v>167</v>
      </c>
    </row>
    <row r="95" spans="1:39" x14ac:dyDescent="0.25">
      <c r="A95">
        <v>1</v>
      </c>
      <c r="B95" s="3">
        <f>Z67</f>
        <v>266.19827706373985</v>
      </c>
      <c r="C95" s="7">
        <f>AB67</f>
        <v>5323.965541274797</v>
      </c>
      <c r="D95" s="7">
        <f>C95*12</f>
        <v>63887.586495297568</v>
      </c>
      <c r="E95" s="4">
        <f>SUM(V56:V67)</f>
        <v>361.65799104745201</v>
      </c>
      <c r="F95" s="4">
        <f>SUM(S56:S67)</f>
        <v>2.238086386214539</v>
      </c>
      <c r="G95" s="4">
        <f>SUM(T56:T67)</f>
        <v>327.60000000000008</v>
      </c>
      <c r="H95" s="4">
        <f>SUM(R56:R67)</f>
        <v>31.819904661237391</v>
      </c>
      <c r="I95" s="4">
        <f>SUM(U56:U67)</f>
        <v>0</v>
      </c>
      <c r="J95" s="4">
        <f>IF(E95&gt;0,F95/E95,"")</f>
        <v>6.18840573585138E-3</v>
      </c>
      <c r="K95" s="4">
        <f>IF(E95&gt;0,G95/E95,"")</f>
        <v>0.90582818051714697</v>
      </c>
      <c r="L95" s="4">
        <f>IF(E95&gt;0,H95/E95,"")</f>
        <v>8.7983413747001651E-2</v>
      </c>
      <c r="M95" s="4">
        <f>IF(E95&gt;0,I95/E95,"")</f>
        <v>0</v>
      </c>
      <c r="N95">
        <f>SUM(AG56:AG67)</f>
        <v>7434.1990466123725</v>
      </c>
      <c r="O95">
        <f>SUM(AC56:AC67)</f>
        <v>1440</v>
      </c>
      <c r="P95">
        <f>SUM(AD56:AD67)</f>
        <v>3276</v>
      </c>
      <c r="Q95">
        <f>SUM(AF56:AF67)</f>
        <v>318.19904661237393</v>
      </c>
      <c r="R95">
        <f>SUM(AE56:AE67)</f>
        <v>2400</v>
      </c>
      <c r="S95">
        <f t="shared" ref="S95:W97" si="36">IF(E95&gt;0,N95/E95,"")</f>
        <v>20.555882161157484</v>
      </c>
      <c r="T95">
        <f t="shared" si="36"/>
        <v>643.40680005457307</v>
      </c>
      <c r="U95">
        <f t="shared" si="36"/>
        <v>9.9999999999999982</v>
      </c>
      <c r="V95">
        <f t="shared" si="36"/>
        <v>10</v>
      </c>
      <c r="W95" t="str">
        <f t="shared" si="36"/>
        <v/>
      </c>
      <c r="X95">
        <f>$C$17</f>
        <v>0.06</v>
      </c>
      <c r="Y95">
        <f>$C$4*$C$5/$C$17</f>
        <v>266.66666666666669</v>
      </c>
      <c r="Z95">
        <f>IF(S95&gt;0,Y95/S95,"")</f>
        <v>12.972766849703078</v>
      </c>
      <c r="AA95">
        <f>AM67</f>
        <v>15709.67115589981</v>
      </c>
      <c r="AB95">
        <f>SUM(H56:H67)</f>
        <v>147566.13535480478</v>
      </c>
    </row>
    <row r="96" spans="1:39" x14ac:dyDescent="0.25">
      <c r="A96">
        <v>2</v>
      </c>
      <c r="B96" s="3">
        <f>Z79</f>
        <v>449.75843411562727</v>
      </c>
      <c r="C96" s="7">
        <f>AB79</f>
        <v>8995.1686823125456</v>
      </c>
      <c r="D96" s="7">
        <f>C96*12</f>
        <v>107942.02418775055</v>
      </c>
      <c r="E96" s="4">
        <f>SUM(V68:V79)</f>
        <v>418.76486808790344</v>
      </c>
      <c r="F96" s="4">
        <f>SUM(S68:S79)</f>
        <v>5.6358822566248357</v>
      </c>
      <c r="G96" s="4">
        <f>SUM(T68:T79)</f>
        <v>327.60000000000008</v>
      </c>
      <c r="H96" s="4">
        <f>SUM(R68:R79)</f>
        <v>85.528985831278533</v>
      </c>
      <c r="I96" s="4">
        <f>SUM(U68:U79)</f>
        <v>0</v>
      </c>
      <c r="J96" s="4">
        <f>IF(E96&gt;0,F96/E96,"")</f>
        <v>1.3458345448983082E-2</v>
      </c>
      <c r="K96" s="4">
        <f>IF(E96&gt;0,G96/E96,"")</f>
        <v>0.78230058193714846</v>
      </c>
      <c r="L96" s="4">
        <f>IF(E96&gt;0,H96/E96,"")</f>
        <v>0.20424107261386845</v>
      </c>
      <c r="M96" s="4">
        <f>IF(E96&gt;0,I96/E96,"")</f>
        <v>0</v>
      </c>
      <c r="N96">
        <f>SUM(AG68:AG79)</f>
        <v>10371.289858312786</v>
      </c>
      <c r="O96">
        <f>SUM(AC68:AC79)</f>
        <v>1440</v>
      </c>
      <c r="P96">
        <f>SUM(AD68:AD79)</f>
        <v>3276.0000000000005</v>
      </c>
      <c r="Q96">
        <f>SUM(AF68:AF79)</f>
        <v>855.28985831278533</v>
      </c>
      <c r="R96">
        <f>SUM(AE68:AE79)</f>
        <v>4800</v>
      </c>
      <c r="S96">
        <f t="shared" si="36"/>
        <v>24.76638001097966</v>
      </c>
      <c r="T96">
        <f t="shared" si="36"/>
        <v>255.50569270806125</v>
      </c>
      <c r="U96">
        <f t="shared" si="36"/>
        <v>9.9999999999999982</v>
      </c>
      <c r="V96">
        <f t="shared" si="36"/>
        <v>10</v>
      </c>
      <c r="W96" t="str">
        <f t="shared" si="36"/>
        <v/>
      </c>
      <c r="X96">
        <f>$C$18</f>
        <v>5.5E-2</v>
      </c>
      <c r="Y96">
        <f>$C$4*$C$5/$C$18</f>
        <v>290.90909090909093</v>
      </c>
      <c r="Z96">
        <f>IF(S96&gt;0,Y96/S96,"")</f>
        <v>11.746128856139752</v>
      </c>
      <c r="AA96">
        <f>AM79</f>
        <v>58538.570269903314</v>
      </c>
      <c r="AB96">
        <f>SUM(H68:H79)</f>
        <v>371596.63230493426</v>
      </c>
    </row>
    <row r="97" spans="1:28" x14ac:dyDescent="0.25">
      <c r="A97">
        <v>3</v>
      </c>
      <c r="B97" s="3">
        <f>Z91</f>
        <v>603.06790422309575</v>
      </c>
      <c r="C97" s="7">
        <f>AB91</f>
        <v>12061.358084461915</v>
      </c>
      <c r="D97" s="7">
        <f>C97*12</f>
        <v>144736.29701354299</v>
      </c>
      <c r="E97" s="4">
        <f>SUM(V80:V91)</f>
        <v>467.44720372925946</v>
      </c>
      <c r="F97" s="4">
        <f>SUM(S80:S91)</f>
        <v>14.192110280542984</v>
      </c>
      <c r="G97" s="4">
        <f>SUM(T80:T91)</f>
        <v>327.60000000000008</v>
      </c>
      <c r="H97" s="4">
        <f>SUM(R80:R91)</f>
        <v>125.6550934487164</v>
      </c>
      <c r="I97" s="4">
        <f>SUM(U80:U91)</f>
        <v>0</v>
      </c>
      <c r="J97" s="4">
        <f>IF(E97&gt;0,F97/E97,"")</f>
        <v>3.0360883897302991E-2</v>
      </c>
      <c r="K97" s="4">
        <f>IF(E97&gt;0,G97/E97,"")</f>
        <v>0.70082780982842841</v>
      </c>
      <c r="L97" s="4">
        <f>IF(E97&gt;0,H97/E97,"")</f>
        <v>0.26881130627426864</v>
      </c>
      <c r="M97" s="4">
        <f>IF(E97&gt;0,I97/E97,"")</f>
        <v>0</v>
      </c>
      <c r="N97">
        <f>SUM(AG80:AG91)</f>
        <v>13172.550934487163</v>
      </c>
      <c r="O97">
        <f>SUM(AC80:AC91)</f>
        <v>1440</v>
      </c>
      <c r="P97">
        <f>SUM(AD80:AD91)</f>
        <v>3276.0000000000005</v>
      </c>
      <c r="Q97">
        <f>SUM(AF80:AF91)</f>
        <v>1256.5509344871637</v>
      </c>
      <c r="R97">
        <f>SUM(AE80:AE91)</f>
        <v>7200</v>
      </c>
      <c r="S97">
        <f t="shared" si="36"/>
        <v>28.179761969688808</v>
      </c>
      <c r="T97">
        <f t="shared" si="36"/>
        <v>101.46482598674581</v>
      </c>
      <c r="U97">
        <f t="shared" si="36"/>
        <v>9.9999999999999982</v>
      </c>
      <c r="V97">
        <f t="shared" si="36"/>
        <v>9.9999999999999964</v>
      </c>
      <c r="W97" t="str">
        <f t="shared" si="36"/>
        <v/>
      </c>
      <c r="X97">
        <f>$C$19</f>
        <v>0.05</v>
      </c>
      <c r="Y97">
        <f>$C$4*$C$5/$C$19</f>
        <v>320</v>
      </c>
      <c r="Z97">
        <f>IF(S97&gt;0,Y97/S97,"")</f>
        <v>11.355667246025847</v>
      </c>
      <c r="AA97">
        <f>AM91</f>
        <v>138087.30218628189</v>
      </c>
      <c r="AB97">
        <f>SUM(H80:H91)</f>
        <v>935743.534980856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0295682DCF9A54EA53FEAFCCC89947D" ma:contentTypeVersion="4" ma:contentTypeDescription="Create a new document." ma:contentTypeScope="" ma:versionID="a4ca21956f268c3a081a1c5563b8bfd2">
  <xsd:schema xmlns:xsd="http://www.w3.org/2001/XMLSchema" xmlns:xs="http://www.w3.org/2001/XMLSchema" xmlns:p="http://schemas.microsoft.com/office/2006/metadata/properties" xmlns:ns3="ce73ef27-7e7f-4341-8b66-0cc708a98c3d" targetNamespace="http://schemas.microsoft.com/office/2006/metadata/properties" ma:root="true" ma:fieldsID="5f8e19505ead1a1c07ab6061f022abd5" ns3:_="">
    <xsd:import namespace="ce73ef27-7e7f-4341-8b66-0cc708a98c3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e73ef27-7e7f-4341-8b66-0cc708a98c3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6959081-F705-4170-9C63-AAEE76A2BD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e73ef27-7e7f-4341-8b66-0cc708a98c3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9BB5A18-8ED4-4AC9-81F9-7EB9B19C585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06A8411-8FB8-471D-A15A-9CC70C327C70}">
  <ds:schemaRefs>
    <ds:schemaRef ds:uri="http://schemas.microsoft.com/office/infopath/2007/PartnerControls"/>
    <ds:schemaRef ds:uri="http://purl.org/dc/terms/"/>
    <ds:schemaRef ds:uri="http://schemas.microsoft.com/office/2006/documentManagement/types"/>
    <ds:schemaRef ds:uri="http://www.w3.org/XML/1998/namespace"/>
    <ds:schemaRef ds:uri="http://purl.org/dc/elements/1.1/"/>
    <ds:schemaRef ds:uri="http://schemas.microsoft.com/office/2006/metadata/properties"/>
    <ds:schemaRef ds:uri="http://schemas.openxmlformats.org/package/2006/metadata/core-properties"/>
    <ds:schemaRef ds:uri="ce73ef27-7e7f-4341-8b66-0cc708a98c3d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Riccardo Capobianco</dc:creator>
  <cp:lastModifiedBy>Riccardo Capobianco</cp:lastModifiedBy>
  <dcterms:created xsi:type="dcterms:W3CDTF">2025-11-27T09:29:13Z</dcterms:created>
  <dcterms:modified xsi:type="dcterms:W3CDTF">2025-11-27T12:03:44Z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0x01010030295682DCF9A54EA53FEAFCCC89947D</vt:lpwstr>
  </property>
</Properties>
</file>